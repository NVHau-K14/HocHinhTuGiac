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f422fa38014829" /></Relationships>
</file>

<file path=xl/workbook.xml><?xml version="1.0" encoding="utf-8"?>
<x:workbook xmlns:x="http://schemas.openxmlformats.org/spreadsheetml/2006/main">
  <x:sheets>
    <x:sheet xmlns:r="http://schemas.openxmlformats.org/officeDocument/2006/relationships" name="Product Backlog" sheetId="1" r:id="Redc12c3f4acf45fc"/>
    <x:sheet xmlns:r="http://schemas.openxmlformats.org/officeDocument/2006/relationships" name="Hướng dẫn" sheetId="2" r:id="Rcc4a2492cf9b469d"/>
    <x:sheet xmlns:r="http://schemas.openxmlformats.org/officeDocument/2006/relationships" name="Danh mục" sheetId="3" r:id="R82b72b0ca1c64a35"/>
  </x:sheets>
</x:workbook>
</file>

<file path=xl/sharedStrings.xml><?xml version="1.0" encoding="utf-8"?>
<x:sst xmlns:x="http://schemas.openxmlformats.org/spreadsheetml/2006/main">
  <x:si>
    <x:t xml:space="preserve">PRODUCT BACKLOG – WEBSITE HỌC HÌNH HỌC PHẲNG VỀ TỨ GIÁC</x:t>
  </x:si>
  <x:si>
    <x:t xml:space="preserve">Phương pháp: Agile/Scrum • Công nghệ: ASP.NET Core MVC + Neo4j • Phạm vi: Prototype e-learning • Phiên bản 2.0 (đồng bộ SRS: sơ đồ quan hệ = Must; đổi tên, bảng xếp hạng, tìm kiếm = Should)</x:t>
  </x:si>
  <x:si>
    <x:t xml:space="preserve">Priority</x:t>
  </x:si>
  <x:si>
    <x:t xml:space="preserve">Count</x:t>
  </x:si>
  <x:si>
    <x:t xml:space="preserve">Must</x:t>
  </x:si>
  <x:si>
    <x:t xml:space="preserve">Tổng PBI</x:t>
  </x:si>
  <x:si>
    <x:t xml:space="preserve">Tổng Story Point</x:t>
  </x:si>
  <x:si>
    <x:t xml:space="preserve">Should</x:t>
  </x:si>
  <x:si>
    <x:t xml:space="preserve">Could</x:t>
  </x:si>
  <x:si>
    <x:t xml:space="preserve">Đã xong</x:t>
  </x:si>
  <x:si>
    <x:t xml:space="preserve">Đang làm</x:t>
  </x:si>
  <x:si>
    <x:t xml:space="preserve">Bị chặn</x:t>
  </x:si>
  <x:si>
    <x:t xml:space="preserve">Rank</x:t>
  </x:si>
  <x:si>
    <x:t xml:space="preserve">PBI ID</x:t>
  </x:si>
  <x:si>
    <x:t xml:space="preserve">Epic</x:t>
  </x:si>
  <x:si>
    <x:t xml:space="preserve">User Story</x:t>
  </x:si>
  <x:si>
    <x:t xml:space="preserve">Acceptance Criteria</x:t>
  </x:si>
  <x:si>
    <x:t xml:space="preserve">Story Points</x:t>
  </x:si>
  <x:si>
    <x:t xml:space="preserve">Status</x:t>
  </x:si>
  <x:si>
    <x:t xml:space="preserve">Sprint</x:t>
  </x:si>
  <x:si>
    <x:t xml:space="preserve">Owner</x:t>
  </x:si>
  <x:si>
    <x:t xml:space="preserve">Dependencies</x:t>
  </x:si>
  <x:si>
    <x:t xml:space="preserve">Notes</x:t>
  </x:si>
  <x:si>
    <x:t xml:space="preserve">FR / UC / AC liên quan</x:t>
  </x:si>
  <x:si>
    <x:t xml:space="preserve">PBI-01</x:t>
  </x:si>
  <x:si>
    <x:t xml:space="preserve">Hạ tầng hệ thống</x:t>
  </x:si>
  <x:si>
    <x:t xml:space="preserve">Là nhóm phát triển, chúng tôi muốn khởi tạo website ASP.NET Core MVC để có nền tảng triển khai hệ thống.</x:t>
  </x:si>
  <x:si>
    <x:t xml:space="preserve">Khi chạy `dotnet run`, trang mặc định mở được; cấu trúc Controllers/Models/Views/Services tách rõ; Bootstrap tải được.</x:t>
  </x:si>
  <x:si>
    <x:t xml:space="preserve">To Do</x:t>
  </x:si>
  <x:si>
    <x:t xml:space="preserve">Sprint 1</x:t>
  </x:si>
  <x:si>
    <x:t xml:space="preserve">Khởi tạo solution/project và cấu trúc thư mục chuẩn.</x:t>
  </x:si>
  <x:si>
    <x:t xml:space="preserve">NFR-10</x:t>
  </x:si>
  <x:si>
    <x:t xml:space="preserve">PBI-02</x:t>
  </x:si>
  <x:si>
    <x:t xml:space="preserve">Là nhóm phát triển, chúng tôi muốn kết nối website với Neo4j Desktop để dữ liệu hệ thống được lưu bằng graph database.</x:t>
  </x:si>
  <x:si>
    <x:t xml:space="preserve">Khi Neo4j chạy, một truy vấn thử (đếm Shape) trả kết quả; URI/user/password nằm trong biến môi trường hoặc appsettings.Development.json (đã .gitignore), không có trong View/JS.</x:t>
  </x:si>
  <x:si>
    <x:t xml:space="preserve">Kiểm tra kết nối ngay sau khi khởi tạo project.</x:t>
  </x:si>
  <x:si>
    <x:t xml:space="preserve">AC-01; NFR-06</x:t>
  </x:si>
  <x:si>
    <x:t xml:space="preserve">PBI-03</x:t>
  </x:si>
  <x:si>
    <x:t xml:space="preserve">Là nhóm phát triển, chúng tôi muốn xây dựng mô hình dữ liệu graph cho kiến thức tứ giác.</x:t>
  </x:si>
  <x:si>
    <x:t xml:space="preserve">Có đủ node Shape, Definition, Property, Theorem, Recognition, Formula, Example, Question, AnswerOption, Learner, QuizAttempt; Property có thể gắn với nhiều Shape; có uniqueness constraint cho Shape.slug, Question.id, Learner.clientId, QuizAttempt.id và index tra cứu; sơ đồ mô hình được vẽ trong tài liệu.</x:t>
  </x:si>
  <x:si>
    <x:t xml:space="preserve">Mô hình phải phản ánh rõ IS_A (DAG) và Property dùng chung.</x:t>
  </x:si>
  <x:si>
    <x:t xml:space="preserve">Mục 8; NFR-12</x:t>
  </x:si>
  <x:si>
    <x:t xml:space="preserve">PBI-23</x:t>
  </x:si>
  <x:si>
    <x:t xml:space="preserve">Là nhóm phát triển, chúng tôi muốn có script tạo dữ liệu Neo4j để có thể dựng lại database nhanh chóng.</x:t>
  </x:si>
  <x:si>
    <x:t xml:space="preserve">Một file .cypher chạy trọn vẹn trên database rỗng; chạy lại lần hai không tạo bản sao (dùng MERGE); sau khi chạy: đủ 8 Shape, các cạnh IS_A đã chốt, ≥40 Question.</x:t>
  </x:si>
  <x:si>
    <x:t xml:space="preserve">Script bổ sung dần khi nội dung PBI-04/05/25 hoàn thành. Chuyển lên rank 4 vì mọi PBI nội dung phụ thuộc dữ liệu.</x:t>
  </x:si>
  <x:si>
    <x:t xml:space="preserve">Mục 8; Phụ lục C</x:t>
  </x:si>
  <x:si>
    <x:t xml:space="preserve">PBI-30</x:t>
  </x:si>
  <x:si>
    <x:t xml:space="preserve">Chất lượng</x:t>
  </x:si>
  <x:si>
    <x:t xml:space="preserve">Là nhóm phát triển, chúng tôi muốn có xử lý lỗi và bảo mật nền để website không lộ thông tin và không sập khi Neo4j gặp sự cố.</x:t>
  </x:si>
  <x:si>
    <x:t xml:space="preserve">Khi dừng Neo4j, mọi trang hiện thông báo thân thiện + nút thử lại, không lộ stack trace/URI/mật khẩu; mọi truy vấn Cypher có input người dùng dùng tham số ($param); dữ liệu người dùng hiển thị luôn được HTML-encode.</x:t>
  </x:si>
  <x:si>
    <x:t xml:space="preserve">Bổ sung mới: SRS đã có FR-10, NFR-06/08/09/14 nhưng Backlog chưa có PBI.</x:t>
  </x:si>
  <x:si>
    <x:t xml:space="preserve">FR-10.*; NFR-06,07,08,09,14; AC-12</x:t>
  </x:si>
  <x:si>
    <x:t xml:space="preserve">PBI-04</x:t>
  </x:si>
  <x:si>
    <x:t xml:space="preserve">Nội dung học tập</x:t>
  </x:si>
  <x:si>
    <x:t xml:space="preserve">Là người học, tôi muốn có đầy đủ các loại tứ giác để có thể lựa chọn nội dung cần học.</x:t>
  </x:si>
  <x:si>
    <x:t xml:space="preserve">Có đúng 8 Shape (kèm slug, tên, mô tả ngắn); các cạnh IS_A đúng danh sách đã chốt trong bản vá SRS (mục 8.3); định nghĩa bám SGK Toán 8, hình diều ghi rõ là định nghĩa nhóm chọn.</x:t>
  </x:si>
  <x:si>
    <x:t xml:space="preserve">Chốt cách định nghĩa bao hàm (inclusive) và dùng nhất quán.</x:t>
  </x:si>
  <x:si>
    <x:t xml:space="preserve">FR-03.1; 8.3; AC-02</x:t>
  </x:si>
  <x:si>
    <x:t xml:space="preserve">PBI-06</x:t>
  </x:si>
  <x:si>
    <x:t xml:space="preserve">UI/UX</x:t>
  </x:si>
  <x:si>
    <x:t xml:space="preserve">Là người học, tôi muốn xem trang chủ để biết website cung cấp những chức năng nào.</x:t>
  </x:si>
  <x:si>
    <x:t xml:space="preserve">Trang chủ có đoạn giới thiệu ngắn và 5 lối vào (Khám phá, Luyện tập, Quiz, Bảng xếp hạng, Tìm kiếm); thanh điều hướng giống nhau ở mọi trang; thu gọn thành menu trên mobile.</x:t>
  </x:si>
  <x:si>
    <x:t xml:space="preserve">FR-02.*</x:t>
  </x:si>
  <x:si>
    <x:t xml:space="preserve">PBI-07</x:t>
  </x:si>
  <x:si>
    <x:t xml:space="preserve">Người học ẩn danh</x:t>
  </x:si>
  <x:si>
    <x:t xml:space="preserve">Là người học, tôi muốn sử dụng website mà không cần đăng ký tài khoản.</x:t>
  </x:si>
  <x:si>
    <x:t xml:space="preserve">Đổi sang cookie (thay localStorage) để MVC đọc được ngay ở request đầu.</x:t>
  </x:si>
  <x:si>
    <x:t xml:space="preserve">FR-01.1,01.2,01.5; UC-01; AC-09</x:t>
  </x:si>
  <x:si>
    <x:t xml:space="preserve">PBI-05</x:t>
  </x:si>
  <x:si>
    <x:t xml:space="preserve">Là người học, tôi muốn mỗi loại hình có kiến thức đầy đủ để phục vụ học tập.</x:t>
  </x:si>
  <x:si>
    <x:t xml:space="preserve">Mỗi Shape có ≥1 định nghĩa, ≥3 tính chất, dấu hiệu nhận biết, công thức, ví dụ; tính chất chung giữa nhiều hình là một node Property dùng chung; nội dung được hai thành viên kiểm chứng chéo; không hard-code trong View.</x:t>
  </x:si>
  <x:si>
    <x:t xml:space="preserve">Sprint 2</x:t>
  </x:si>
  <x:si>
    <x:t xml:space="preserve">PBI-03,PBI-04</x:t>
  </x:si>
  <x:si>
    <x:t xml:space="preserve">Tăng từ 5 lên 8 SP vì đây là công việc viết nội dung cho 8 hình.</x:t>
  </x:si>
  <x:si>
    <x:t xml:space="preserve">FR-04.*; BR-09</x:t>
  </x:si>
  <x:si>
    <x:t xml:space="preserve">PBI-09</x:t>
  </x:si>
  <x:si>
    <x:t xml:space="preserve">Là người học, tôi muốn xem danh sách các loại tứ giác để chọn chủ đề cần học.</x:t>
  </x:si>
  <x:si>
    <x:t xml:space="preserve">Trang Khám phá lấy danh sách từ Neo4j, hiển thị đủ 8 hình, mỗi hình có tên, mô tả ngắn, hình SVG và liên kết tới trang chi tiết.</x:t>
  </x:si>
  <x:si>
    <x:t xml:space="preserve">PBI-04,PBI-06</x:t>
  </x:si>
  <x:si>
    <x:t xml:space="preserve">FR-03.1–03.4; UC-02; AC-02</x:t>
  </x:si>
  <x:si>
    <x:t xml:space="preserve">PBI-10</x:t>
  </x:si>
  <x:si>
    <x:t xml:space="preserve">Là người học, tôi muốn xem chi tiết một loại tứ giác để học kiến thức liên quan.</x:t>
  </x:si>
  <x:si>
    <x:t xml:space="preserve">Trang /shape/{slug} hiển thị định nghĩa, tính chất, định lý, dấu hiệu, công thức, ví dụ từ Neo4j; mục thiếu dữ liệu thì ẩn hoặc báo rõ, không gây lỗi trang; slug không tồn tại trả 404.</x:t>
  </x:si>
  <x:si>
    <x:t xml:space="preserve">PBI-05,PBI-09</x:t>
  </x:si>
  <x:si>
    <x:t xml:space="preserve">FR-04.*; FR-10.1; UC-02; AC-03</x:t>
  </x:si>
  <x:si>
    <x:t xml:space="preserve">PBI-26</x:t>
  </x:si>
  <x:si>
    <x:t xml:space="preserve">Khai thác Graph Neo4j</x:t>
  </x:si>
  <x:si>
    <x:t xml:space="preserve">Là người học, tôi muốn thấy cả tính chất mà một hình kế thừa từ hình tổng quát hơn để hiểu vì sao hình vuông có mọi tính chất của hình chữ nhật và hình thoi.</x:t>
  </x:si>
  <x:si>
    <x:t xml:space="preserve">Trang chi tiết của Hình vuông liệt kê tính chất theo nhóm "của chính nó" và "kế thừa từ: Hình chữ nhật, Hình thoi, Hình bình hành…"; dữ liệu lấy bằng MỘT truy vấn Cypher dùng IS_A*0..; không trùng lặp tính chất.</x:t>
  </x:si>
  <x:si>
    <x:t xml:space="preserve">PBI-05,PBI-10</x:t>
  </x:si>
  <x:si>
    <x:t xml:space="preserve">Bổ sung mới. Truy vấn mẫu nằm trong bản vá SRS (Phụ lục C).</x:t>
  </x:si>
  <x:si>
    <x:t xml:space="preserve">FR-04.8 (mới); UC-02; Phụ lục C</x:t>
  </x:si>
  <x:si>
    <x:t xml:space="preserve">PBI-29</x:t>
  </x:si>
  <x:si>
    <x:t xml:space="preserve">Là người học, tôi muốn công thức và ký hiệu toán hiển thị đúng chuẩn để đọc không bị nhầm.</x:t>
  </x:si>
  <x:si>
    <x:t xml:space="preserve">Công thức (diện tích, tổng góc…) và ký hiệu (∥, ⊥, °, ∠) hiển thị bằng KaTeX ở bài học, câu hỏi và lời giải; không vỡ font ở 360px.</x:t>
  </x:si>
  <x:si>
    <x:t xml:space="preserve">Bổ sung mới: NFR-05 yêu cầu nhưng chưa có PBI.</x:t>
  </x:si>
  <x:si>
    <x:t xml:space="preserve">NFR-05</x:t>
  </x:si>
  <x:si>
    <x:t xml:space="preserve">PBI-28</x:t>
  </x:si>
  <x:si>
    <x:t xml:space="preserve">PBI-01,PBI-06</x:t>
  </x:si>
  <x:si>
    <x:t xml:space="preserve">FR-03.4; NFR-02</x:t>
  </x:si>
  <x:si>
    <x:t xml:space="preserve">PBI-25</x:t>
  </x:si>
  <x:si>
    <x:t xml:space="preserve">Luyện tập</x:t>
  </x:si>
  <x:si>
    <x:t xml:space="preserve">Là người học, tôi muốn có đủ câu hỏi trắc nghiệm cho từng loại hình để có đủ bài luyện tập.</x:t>
  </x:si>
  <x:si>
    <x:t xml:space="preserve">Mỗi Shape có ≥5 Question gồm cả 3 loại THEORY, CALCULATION, RECOGNITION; mỗi câu có đúng 1 đáp án đúng trong 4 AnswerOption và có explanation; tổng ≥40 câu; có script kiểm tra tự động các ràng buộc này.</x:t>
  </x:si>
  <x:si>
    <x:t xml:space="preserve">Tách ra từ PBI-12 (phần viết nội dung câu hỏi, công việc lớn nhất của dự án).</x:t>
  </x:si>
  <x:si>
    <x:t xml:space="preserve">FR-06.1–06.3; BR-03; NFR-11; AC-05</x:t>
  </x:si>
  <x:si>
    <x:t xml:space="preserve">PBI-12</x:t>
  </x:si>
  <x:si>
    <x:t xml:space="preserve">Là người học, tôi muốn luyện tập theo từng loại hình để kiểm tra kiến thức vừa học.</x:t>
  </x:si>
  <x:si>
    <x:t xml:space="preserve">Chọn một loại hình sẽ hiện đúng 5 câu của hình đó, lấy từ Neo4j; có thể chọn loại hình khác từ cùng trang; thiếu câu thì hiện số câu hiện có và cảnh báo.</x:t>
  </x:si>
  <x:si>
    <x:t xml:space="preserve">Sprint 3</x:t>
  </x:si>
  <x:si>
    <x:t xml:space="preserve">Giảm từ 8 xuống 5 SP sau khi tách phần ngân hàng câu hỏi sang PBI-25.</x:t>
  </x:si>
  <x:si>
    <x:t xml:space="preserve">FR-06.6; UC-04</x:t>
  </x:si>
  <x:si>
    <x:t xml:space="preserve">PBI-13</x:t>
  </x:si>
  <x:si>
    <x:t xml:space="preserve">Là người học, tôi muốn biết câu trả lời của mình đúng hay sai để tự đánh giá.</x:t>
  </x:si>
  <x:si>
    <x:t xml:space="preserve">Sau khi chọn đáp án và nhấn Kiểm tra, hiện "Đúng" hoặc "Sai" kèm biểu tượng và đáp án đúng; không thể chấm lại cùng câu sau khi đã kiểm tra.</x:t>
  </x:si>
  <x:si>
    <x:t xml:space="preserve">FR-06.4; AC-06</x:t>
  </x:si>
  <x:si>
    <x:t xml:space="preserve">PBI-14</x:t>
  </x:si>
  <x:si>
    <x:t xml:space="preserve">Là người học, tôi muốn xem lời giải sau khi trả lời để hiểu kiến thức.</x:t>
  </x:si>
  <x:si>
    <x:t xml:space="preserve">Sau khi trả lời, nhấn "Xem lời giải" hiện explanation lưu trong Neo4j; câu chưa có lời giải hiện "Lời giải đang được bổ sung".</x:t>
  </x:si>
  <x:si>
    <x:t xml:space="preserve">PBI-12,PBI-13</x:t>
  </x:si>
  <x:si>
    <x:t xml:space="preserve">FR-06.5; UC-08; AC-06</x:t>
  </x:si>
  <x:si>
    <x:t xml:space="preserve">PBI-15</x:t>
  </x:si>
  <x:si>
    <x:t xml:space="preserve">Kiểm tra &amp; đánh giá</x:t>
  </x:si>
  <x:si>
    <x:t xml:space="preserve">Là người học, tôi muốn làm bài kiểm tra tổng hợp để đánh giá mức độ nắm kiến thức.</x:t>
  </x:si>
  <x:si>
    <x:t xml:space="preserve">Bắt đầu quiz: server chọn 10 câu (cân bằng theo loại hình, không trùng); hiện tiến độ n/10; nếu còn câu chưa trả lời thì cảnh báo trước khi nộp; nộp bài thành công.</x:t>
  </x:si>
  <x:si>
    <x:t xml:space="preserve">Chốt quy tắc: chọn ngẫu nhiên có cân bằng chủ đề; cho phép nộp khi thiếu câu sau cảnh báo (câu bỏ trống tính sai).</x:t>
  </x:si>
  <x:si>
    <x:t xml:space="preserve">FR-07.1,07.2,07.7; UC-05</x:t>
  </x:si>
  <x:si>
    <x:t xml:space="preserve">PBI-16</x:t>
  </x:si>
  <x:si>
    <x:t xml:space="preserve">Là người học, tôi muốn xem kết quả quiz để biết điểm của mình.</x:t>
  </x:si>
  <x:si>
    <x:t xml:space="preserve">Server tự tính số câu đúng/sai và điểm = số đúng × 10 từ đáp án gửi lên (không nhận điểm từ client); hiển thị điểm /100; xem lại từng câu với đáp án đúng và lời giải; có nút Làm lại.</x:t>
  </x:si>
  <x:si>
    <x:t xml:space="preserve">PBI-14,PBI-15</x:t>
  </x:si>
  <x:si>
    <x:t xml:space="preserve">FR-07.3–07.5; UC-05,UC-08; AC-07</x:t>
  </x:si>
  <x:si>
    <x:t xml:space="preserve">PBI-11</x:t>
  </x:si>
  <x:si>
    <x:t xml:space="preserve">Là người học, tôi muốn xem quan hệ giữa các loại tứ giác để hiểu mối liên hệ giữa chúng.</x:t>
  </x:si>
  <x:si>
    <x:t xml:space="preserve">Sơ đồ ẩn khi mở trang; nhấn "Xem sơ đồ quan hệ" mới gọi API và hiển thị các Shape cùng cạnh IS_A (có mũi tên đúng chiều); có nút đóng; lỗi Neo4j thì báo "không tải được sơ đồ"; trên mobile có thể kéo/thu phóng hoặc hiện dạng danh sách.</x:t>
  </x:si>
  <x:si>
    <x:t xml:space="preserve">PBI-03,PBI-04,PBI-10</x:t>
  </x:si>
  <x:si>
    <x:t xml:space="preserve">Nâng từ Should lên Must (cả SRS và Backlog): đây là phần minh họa Neo4j rõ nhất.</x:t>
  </x:si>
  <x:si>
    <x:t xml:space="preserve">FR-05.*; UC-03; AC-04</x:t>
  </x:si>
  <x:si>
    <x:t xml:space="preserve">PBI-20</x:t>
  </x:si>
  <x:si>
    <x:t xml:space="preserve">Là người học, tôi muốn website hiển thị tốt trên nhiều kích thước màn hình và môi trường.</x:t>
  </x:si>
  <x:si>
    <x:t xml:space="preserve">Ở 360px, 768px, 1280px: không chồng chữ, không thanh cuộn ngang toàn trang, nút bấm đủ lớn; kiểm tra trên Chrome và Edge.</x:t>
  </x:si>
  <x:si>
    <x:t xml:space="preserve">PBI-06,PBI-09,PBI-10,PBI-28</x:t>
  </x:si>
  <x:si>
    <x:t xml:space="preserve">Kiểm tra dần theo từng sprint, không để dồn đến cuối.</x:t>
  </x:si>
  <x:si>
    <x:t xml:space="preserve">NFR-02,03; AC-11</x:t>
  </x:si>
  <x:si>
    <x:t xml:space="preserve">PBI-17</x:t>
  </x:si>
  <x:si>
    <x:t xml:space="preserve">Bảng xếp hạng</x:t>
  </x:si>
  <x:si>
    <x:t xml:space="preserve">Là người học, tôi muốn điểm quiz của mình được ghi nhận để tham gia bảng xếp hạng.</x:t>
  </x:si>
  <x:si>
    <x:t xml:space="preserve">Khi nộp quiz, Learner (theo cookie clientId) và QuizAttempt được lưu trong Neo4j; chỉ lượt hoàn thành được tính; lưu thất bại thì vẫn hiện điểm và báo "chưa cập nhật được bảng xếp hạng".</x:t>
  </x:si>
  <x:si>
    <x:t xml:space="preserve">Sprint 4</x:t>
  </x:si>
  <x:si>
    <x:t xml:space="preserve">PBI-07,PBI-16</x:t>
  </x:si>
  <x:si>
    <x:t xml:space="preserve">Hạ từ Must xuống Should trong SRS (FR-07.6) cho khớp Backlog.</x:t>
  </x:si>
  <x:si>
    <x:t xml:space="preserve">FR-07.6; FR-08.2; UC-05; AC-08</x:t>
  </x:si>
  <x:si>
    <x:t xml:space="preserve">PBI-18</x:t>
  </x:si>
  <x:si>
    <x:t xml:space="preserve">Là người học, tôi muốn xem bảng xếp hạng để so sánh kết quả với những người khác.</x:t>
  </x:si>
  <x:si>
    <x:t xml:space="preserve">Bảng hiển thị hạng, tên, điểm tốt nhất, thời điểm; xếp điểm giảm dần, bằng điểm thì lượt sớm hơn xếp trên; mỗi clientId xuất hiện một lần; làm nổi bật dòng của mình; chưa có dữ liệu thì hiện thông báo.</x:t>
  </x:si>
  <x:si>
    <x:t xml:space="preserve">FR-08.*; UC-06; AC-08</x:t>
  </x:si>
  <x:si>
    <x:t xml:space="preserve">PBI-19</x:t>
  </x:si>
  <x:si>
    <x:t xml:space="preserve">Là người học, tôi muốn tìm kiến thức bằng từ khóa để nhanh chóng tìm nội dung cần ôn.</x:t>
  </x:si>
  <x:si>
    <x:t xml:space="preserve">Nhập "đường chéo" hoặc "duong cheo" đều trả về kết quả từ Definition/Property/Theorem/Recognition/Formula kèm tên hình và liên kết; từ khóa rỗng báo lỗi; không có kết quả hiện "Không tìm thấy dữ liệu phù hợp"; truy vấn thực hiện ở backend.</x:t>
  </x:si>
  <x:si>
    <x:t xml:space="preserve">Mỗi node có thuộc tính searchText (viết thường, bỏ dấu) để tìm không dấu.</x:t>
  </x:si>
  <x:si>
    <x:t xml:space="preserve">FR-09.*; UC-07; AC-10</x:t>
  </x:si>
  <x:si>
    <x:t xml:space="preserve">PBI-08</x:t>
  </x:si>
  <x:si>
    <x:t xml:space="preserve">Là người học, tôi muốn đổi tên hiển thị để tên của mình xuất hiện trên bảng xếp hạng.</x:t>
  </x:si>
  <x:si>
    <x:t xml:space="preserve">Tên 1–30 ký tự, được cắt khoảng trắng đầu/cuối; tên trống/quá dài báo lỗi; tên mới còn sau khi tải lại và xuất hiện ở bảng xếp hạng ở các lượt sau; ký tự HTML bị mã hóa khi hiển thị.</x:t>
  </x:si>
  <x:si>
    <x:t xml:space="preserve">Hạ từ Must xuống Should trong SRS (FR-01.3, FR-01.4).</x:t>
  </x:si>
  <x:si>
    <x:t xml:space="preserve">FR-01.3,01.4; UC-01; AC-09</x:t>
  </x:si>
  <x:si>
    <x:t xml:space="preserve">PBI-27</x:t>
  </x:si>
  <x:si>
    <x:t xml:space="preserve">Là người học, tôi muốn so sánh hai loại tứ giác để thấy chúng giống và khác nhau ở điểm nào.</x:t>
  </x:si>
  <x:si>
    <x:t xml:space="preserve">Chọn hai hình (ví dụ Hình thoi và Hình diều) hiển thị các tính chất chung; dữ liệu lấy bằng một truy vấn Cypher kết hợp IS_A*0.. và HAS_PROPERTY dùng chung; chọn cùng một hình hai lần thì báo lỗi nhẹ.</x:t>
  </x:si>
  <x:si>
    <x:t xml:space="preserve">Bổ sung mới theo lựa chọn "khai thác Neo4j đầy đủ".</x:t>
  </x:si>
  <x:si>
    <x:t xml:space="preserve">FR-04.9 (mới); Phụ lục C</x:t>
  </x:si>
  <x:si>
    <x:t xml:space="preserve">PBI-22</x:t>
  </x:si>
  <x:si>
    <x:t xml:space="preserve">Là nhóm phát triển, chúng tôi muốn kiểm tra các chức năng chính để website ổn định khi demo.</x:t>
  </x:si>
  <x:si>
    <x:t xml:space="preserve">Chạy được luồng Trang chủ → Bài học → Luyện tập → Quiz → Bảng xếp hạng → Tìm kiếm; đạt AC-01…AC-12 (các AC Should chỉ kiểm khi đã làm); có bảng test case và kết quả; không còn lỗi chặn demo.</x:t>
  </x:si>
  <x:si>
    <x:t xml:space="preserve">PBI-10,PBI-11,PBI-14,PBI-16,PBI-20,PBI-26</x:t>
  </x:si>
  <x:si>
    <x:t xml:space="preserve">Nếu làm cả PBI-17/18/19, thêm vào dependency.</x:t>
  </x:si>
  <x:si>
    <x:t xml:space="preserve">AC-01…AC-12</x:t>
  </x:si>
  <x:si>
    <x:t xml:space="preserve">PBI-31</x:t>
  </x:si>
  <x:si>
    <x:t xml:space="preserve">Triển khai</x:t>
  </x:si>
  <x:si>
    <x:t xml:space="preserve">Là nhóm phát triển, chúng tôi muốn có README, hướng dẫn sử dụng và repo GitHub sạch để nộp bài và để giảng viên chạy lại được.</x:t>
  </x:si>
  <x:si>
    <x:t xml:space="preserve">README nêu cách cài Neo4j, chạy file .cypher, cấu hình kết nối, chạy website; hướng dẫn sử dụng có ảnh chụp từng chức năng; repo không chứa mật khẩu; có link GitHub.</x:t>
  </x:si>
  <x:si>
    <x:t xml:space="preserve">Bổ sung mới: tương ứng mục 3 và 4 của đề bài.</x:t>
  </x:si>
  <x:si>
    <x:t xml:space="preserve">Đề bài mục 3, 4</x:t>
  </x:si>
  <x:si>
    <x:t xml:space="preserve">PBI-21</x:t>
  </x:si>
  <x:si>
    <x:t xml:space="preserve">Là người học, tôi muốn xem thông tin về hệ thống để biết mục đích của website.</x:t>
  </x:si>
  <x:si>
    <x:t xml:space="preserve">Có trang Giới thiệu mô tả mục đích đề tài, vai trò của Neo4j và các chức năng chính.</x:t>
  </x:si>
  <x:si>
    <x:t xml:space="preserve">Phụ lục B</x:t>
  </x:si>
  <x:si>
    <x:t xml:space="preserve">PBI-24</x:t>
  </x:si>
  <x:si>
    <x:t xml:space="preserve">Là nhóm phát triển, chúng tôi muốn có khả năng đưa website lên Internet nếu cần trình diễn từ xa.</x:t>
  </x:si>
  <x:si>
    <x:t xml:space="preserve">Có phương án deploy (ví dụ AuraDB + hosting .NET) đã chạy thử; không ảnh hưởng bản local.</x:t>
  </x:si>
  <x:si>
    <x:t xml:space="preserve">Triển khai online được quyết định sau.</x:t>
  </x:si>
  <x:si>
    <x:t xml:space="preserve">Mục 10.3</x:t>
  </x:si>
  <x:si>
    <x:t xml:space="preserve">HƯỚNG DẪN SỬ DỤNG PRODUCT BACKLOG</x:t>
  </x:si>
  <x:si>
    <x:t xml:space="preserve">Trường</x:t>
  </x:si>
  <x:si>
    <x:t xml:space="preserve">Ý nghĩa / Quy ước</x:t>
  </x:si>
  <x:si>
    <x:t xml:space="preserve">Definition of Ready (DoR)</x:t>
  </x:si>
  <x:si>
    <x:t xml:space="preserve">Thứ tự ưu tiên thực hiện. Số nhỏ hơn được ưu tiên trước.</x:t>
  </x:si>
  <x:si>
    <x:t xml:space="preserve">1</x:t>
  </x:si>
  <x:si>
    <x:t xml:space="preserve">User Story rõ ràng, không mơ hồ</x:t>
  </x:si>
  <x:si>
    <x:t xml:space="preserve">Mã duy nhất của Product Backlog Item.</x:t>
  </x:si>
  <x:si>
    <x:t xml:space="preserve">2</x:t>
  </x:si>
  <x:si>
    <x:t xml:space="preserve">Có Acceptance Criteria có thể kiểm tra</x:t>
  </x:si>
  <x:si>
    <x:t xml:space="preserve">Nhóm chức năng lớn mà PBI thuộc về.</x:t>
  </x:si>
  <x:si>
    <x:t xml:space="preserve">3</x:t>
  </x:si>
  <x:si>
    <x:t xml:space="preserve">Đã xác định dependency chính</x:t>
  </x:si>
  <x:si>
    <x:t xml:space="preserve">Viết theo dạng: Là [vai trò], tôi muốn [mục tiêu] để [giá trị].</x:t>
  </x:si>
  <x:si>
    <x:t xml:space="preserve">4</x:t>
  </x:si>
  <x:si>
    <x:t xml:space="preserve">Có ước lượng Story Point</x:t>
  </x:si>
  <x:si>
    <x:t xml:space="preserve">Điều kiện có thể kiểm tra để xác định PBI đã hoàn thành.</x:t>
  </x:si>
  <x:si>
    <x:t xml:space="preserve">5</x:t>
  </x:si>
  <x:si>
    <x:t xml:space="preserve">Nhóm hiểu đủ để bắt đầu thực hiện</x:t>
  </x:si>
  <x:si>
    <x:t xml:space="preserve">MoSCoW: Must = bắt buộc; Should = nên có; Could = có thể có.</x:t>
  </x:si>
  <x:si>
    <x:t xml:space="preserve">Ước lượng tương đối độ phức tạp/công sức; không phải số giờ.</x:t>
  </x:si>
  <x:si>
    <x:t xml:space="preserve">Definition of Done (DoD)</x:t>
  </x:si>
  <x:si>
    <x:t xml:space="preserve">To Do / In Progress / Done / Blocked.</x:t>
  </x:si>
  <x:si>
    <x:t xml:space="preserve">Code hoàn thành và build không lỗi</x:t>
  </x:si>
  <x:si>
    <x:t xml:space="preserve">Sprint mà PBI được chọn để thực hiện.</x:t>
  </x:si>
  <x:si>
    <x:t xml:space="preserve">Dữ liệu/truy vấn Neo4j hoạt động đúng nếu PBI có liên quan</x:t>
  </x:si>
  <x:si>
    <x:t xml:space="preserve">Thành viên chịu trách nhiệm chính.</x:t>
  </x:si>
  <x:si>
    <x:t xml:space="preserve">Acceptance Criteria đạt đầy đủ</x:t>
  </x:si>
  <x:si>
    <x:t xml:space="preserve">Truy vết tới mã yêu cầu trong SRS (FR, UC, NFR, AC).</x:t>
  </x:si>
  <x:si>
    <x:t xml:space="preserve">Giao diện không có lỗi hiển thị nghiêm trọng</x:t>
  </x:si>
  <x:si>
    <x:t xml:space="preserve">Đã kiểm thử chức năng chính</x:t>
  </x:si>
  <x:si>
    <x:t xml:space="preserve">6</x:t>
  </x:si>
  <x:si>
    <x:t xml:space="preserve">Code đã commit lên Git với thông điệp rõ ràng</x:t>
  </x:si>
  <x:si>
    <x:t xml:space="preserve">7</x:t>
  </x:si>
  <x:si>
    <x:t xml:space="preserve">Không còn lỗi nghiêm trọng chặn demo</x:t>
  </x:si>
  <x:si>
    <x:t xml:space="preserve">8</x:t>
  </x:si>
  <x:si>
    <x:t xml:space="preserve">Truy vấn Cypher dùng tham số; không commit mật khẩu Neo4j</x:t>
  </x:si>
  <x:si>
    <x:t xml:space="preserve">Thành viên 1</x:t>
  </x:si>
  <x:si>
    <x:t xml:space="preserve">In Progress</x:t>
  </x:si>
  <x:si>
    <x:t xml:space="preserve">Thành viên 2</x:t>
  </x:si>
  <x:si>
    <x:t xml:space="preserve">Done</x:t>
  </x:si>
  <x:si>
    <x:t xml:space="preserve">Thành viên 3</x:t>
  </x:si>
  <x:si>
    <x:t xml:space="preserve">Blocked</x:t>
  </x:si>
  <x:si>
    <x:t xml:space="preserve">Cả nhóm</x:t>
  </x:si>
</x:sst>
</file>

<file path=xl/styles.xml><?xml version="1.0" encoding="utf-8"?>
<x:styleSheet xmlns:x="http://schemas.openxmlformats.org/spreadsheetml/2006/main">
  <x:numFmts count="3">
    <x:numFmt numFmtId="164" formatCode="General"/>
    <x:numFmt numFmtId="165" formatCode="General"/>
    <x:numFmt numFmtId="166" formatCode="0"/>
  </x:numFmts>
  <x:fonts count="12">
    <x:font>
      <x:sz val="10"/>
      <x:name val="Arial"/>
    </x:font>
    <x:font>
      <x:sz val="10"/>
      <x:name val="Arial"/>
    </x:font>
    <x:font>
      <x:sz val="10"/>
      <x:name val="Arial"/>
    </x:font>
    <x:font>
      <x:sz val="10"/>
      <x:name val="Arial"/>
    </x:font>
    <x:font>
      <x:sz val="11"/>
      <x:name val="Calibri"/>
    </x:font>
    <x:font>
      <x:b/>
      <x:sz val="16"/>
      <x:color rgb="FFFFFFFF"/>
      <x:name val="Calibri"/>
    </x:font>
    <x:font>
      <x:i/>
      <x:sz val="11"/>
      <x:color rgb="FF1F1F1F"/>
      <x:name val="Calibri"/>
    </x:font>
    <x:font>
      <x:b/>
      <x:sz val="11"/>
      <x:color rgb="FFFFFFFF"/>
      <x:name val="Calibri"/>
    </x:font>
    <x:font>
      <x:b/>
      <x:sz val="12"/>
      <x:name val="Calibri"/>
    </x:font>
    <x:font>
      <x:b/>
      <x:sz val="18"/>
      <x:color rgb="FF000000"/>
      <x:name val="Calibri"/>
    </x:font>
    <x:font>
      <x:sz val="10"/>
      <x:color rgb="FF000000"/>
      <x:name val="Calibri"/>
    </x:font>
    <x:font>
      <x:b/>
      <x:sz val="15"/>
      <x:color rgb="FFFFFFFF"/>
      <x:name val="Calibri"/>
    </x:font>
  </x:fonts>
  <x:fills count="1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AF2F8"/>
      </x:patternFill>
    </x:fill>
    <x:fill>
      <x:patternFill patternType="solid">
        <x:fgColor rgb="FF203864"/>
      </x:patternFill>
    </x:fill>
    <x:fill>
      <x:patternFill patternType="solid">
        <x:fgColor rgb="FF70AD47"/>
      </x:patternFill>
    </x:fill>
    <x:fill>
      <x:patternFill patternType="solid">
        <x:fgColor rgb="FF4472C4"/>
      </x:patternFill>
    </x:fill>
    <x:fill>
      <x:patternFill patternType="solid">
        <x:fgColor rgb="FF7F8C8D"/>
      </x:patternFill>
    </x:fill>
  </x:fills>
  <x:borders count="8">
    <x:border diagonalUp="0" diagonalDown="0"/>
    <x:border diagonalUp="0" diagonalDown="0">
      <x:left style="thin">
        <x:color rgb="FFB7C9D6"/>
      </x:left>
      <x:top style="thin">
        <x:color rgb="FFB7C9D6"/>
      </x:top>
    </x:border>
    <x:border diagonalUp="0" diagonalDown="0">
      <x:top style="thin">
        <x:color rgb="FFB7C9D6"/>
      </x:top>
    </x:border>
    <x:border diagonalUp="0" diagonalDown="0">
      <x:right style="thin">
        <x:color rgb="FFB7C9D6"/>
      </x:right>
      <x:top style="thin">
        <x:color rgb="FFB7C9D6"/>
      </x:top>
    </x:border>
    <x:border diagonalUp="0" diagonalDown="0">
      <x:left style="thin">
        <x:color rgb="FFB7C9D6"/>
      </x:left>
    </x:border>
    <x:border diagonalUp="0" diagonalDown="0">
      <x:right style="thin">
        <x:color rgb="FFB7C9D6"/>
      </x:right>
    </x:border>
    <x:border diagonalUp="0" diagonalDown="0">
      <x:left style="thin">
        <x:color rgb="FFB7C9D6"/>
      </x:left>
      <x:bottom style="thin">
        <x:color rgb="FFB7C9D6"/>
      </x:bottom>
    </x:border>
    <x:border diagonalUp="0" diagonalDown="0">
      <x:right style="thin">
        <x:color rgb="FFB7C9D6"/>
      </x:right>
      <x:bottom style="thin">
        <x:color rgb="FFB7C9D6"/>
      </x:bottom>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25">
    <x:xf numFmtId="164" fontId="0" fillId="0" borderId="0" xfId="0" applyFont="0" applyBorder="0" applyAlignment="0">
      <x:alignment horizontal="general" vertical="bottom" wrapText="0"/>
    </x:xf>
    <x:xf numFmtId="164" fontId="5" fillId="2" borderId="0" xfId="20" applyFont="1" applyBorder="1" applyAlignment="1">
      <x:alignment horizontal="center" vertical="center" wrapText="0"/>
    </x:xf>
    <x:xf numFmtId="164" fontId="6" fillId="3" borderId="0" xfId="20" applyFont="1" applyBorder="1" applyAlignment="1">
      <x:alignment horizontal="center" vertical="bottom" wrapText="0"/>
    </x:xf>
    <x:xf numFmtId="164" fontId="7" fillId="4" borderId="0" xfId="20" applyFont="1" applyBorder="1" applyAlignment="1">
      <x:alignment horizontal="center" vertical="center" wrapText="0"/>
    </x:xf>
    <x:xf numFmtId="165" fontId="8" fillId="5" borderId="0" xfId="20" applyFont="1" applyBorder="1" applyAlignment="1">
      <x:alignment horizontal="center" vertical="bottom" wrapText="0"/>
    </x:xf>
    <x:xf numFmtId="164" fontId="7" fillId="6" borderId="1" xfId="20" applyFont="1" applyBorder="1" applyAlignment="1">
      <x:alignment horizontal="center" vertical="center" wrapText="1"/>
    </x:xf>
    <x:xf numFmtId="164" fontId="7" fillId="6" borderId="2" xfId="20" applyFont="1" applyBorder="1" applyAlignment="1">
      <x:alignment horizontal="center" vertical="center" wrapText="1"/>
    </x:xf>
    <x:xf numFmtId="164" fontId="7" fillId="6" borderId="3" xfId="20" applyFont="1" applyBorder="1" applyAlignment="1">
      <x:alignment horizontal="center" vertical="center" wrapText="1"/>
    </x:xf>
    <x:xf numFmtId="164" fontId="4" fillId="0" borderId="4" xfId="20" applyFont="0" applyBorder="1" applyAlignment="1">
      <x:alignment horizontal="center" vertical="top" wrapText="1"/>
    </x:xf>
    <x:xf numFmtId="164" fontId="4" fillId="0" borderId="0" xfId="20" applyFont="1" applyBorder="1" applyAlignment="1">
      <x:alignment horizontal="center" vertical="top" wrapText="1"/>
    </x:xf>
    <x:xf numFmtId="164" fontId="4" fillId="0" borderId="0" xfId="20" applyFont="1" applyBorder="1" applyAlignment="1">
      <x:alignment horizontal="general" vertical="top" wrapText="1"/>
    </x:xf>
    <x:xf numFmtId="166" fontId="4" fillId="0" borderId="0" xfId="20" applyFont="0" applyBorder="1" applyAlignment="1">
      <x:alignment horizontal="center" vertical="top" wrapText="1"/>
    </x:xf>
    <x:xf numFmtId="164" fontId="4" fillId="0" borderId="0" xfId="20" applyFont="0" applyBorder="1" applyAlignment="1">
      <x:alignment horizontal="general" vertical="top" wrapText="1"/>
    </x:xf>
    <x:xf numFmtId="164" fontId="4" fillId="0" borderId="5" xfId="20" applyFont="1" applyBorder="1" applyAlignment="1">
      <x:alignment horizontal="general" vertical="top" wrapText="1"/>
    </x:xf>
    <x:xf numFmtId="164" fontId="11" fillId="2" borderId="0" xfId="20" applyFont="1" applyBorder="1" applyAlignment="1">
      <x:alignment horizontal="center" vertical="bottom" wrapText="0"/>
    </x:xf>
    <x:xf numFmtId="164" fontId="7" fillId="4" borderId="1" xfId="20" applyFont="1" applyBorder="1" applyAlignment="1">
      <x:alignment horizontal="general" vertical="bottom" wrapText="1"/>
    </x:xf>
    <x:xf numFmtId="164" fontId="7" fillId="4" borderId="3" xfId="20" applyFont="1" applyBorder="1" applyAlignment="1">
      <x:alignment horizontal="general" vertical="bottom" wrapText="1"/>
    </x:xf>
    <x:xf numFmtId="164" fontId="7" fillId="7" borderId="0" xfId="20" applyFont="1" applyBorder="1" applyAlignment="1">
      <x:alignment horizontal="center" vertical="bottom" wrapText="0"/>
    </x:xf>
    <x:xf numFmtId="164" fontId="4" fillId="0" borderId="4" xfId="20" applyFont="1" applyBorder="1" applyAlignment="1">
      <x:alignment horizontal="general" vertical="bottom" wrapText="1"/>
    </x:xf>
    <x:xf numFmtId="164" fontId="4" fillId="0" borderId="5" xfId="20" applyFont="1" applyBorder="1" applyAlignment="1">
      <x:alignment horizontal="general" vertical="bottom" wrapText="1"/>
    </x:xf>
    <x:xf numFmtId="164" fontId="4" fillId="0" borderId="0" xfId="20" applyFont="1" applyBorder="1" applyAlignment="1">
      <x:alignment horizontal="general" vertical="bottom" wrapText="1"/>
    </x:xf>
    <x:xf numFmtId="164" fontId="7" fillId="8" borderId="0" xfId="20" applyFont="1" applyBorder="1" applyAlignment="1">
      <x:alignment horizontal="center" vertical="bottom" wrapText="0"/>
    </x:xf>
    <x:xf numFmtId="164" fontId="4" fillId="0" borderId="6" xfId="20" applyFont="1" applyBorder="1" applyAlignment="1">
      <x:alignment horizontal="general" vertical="bottom" wrapText="1"/>
    </x:xf>
    <x:xf numFmtId="164" fontId="4" fillId="0" borderId="7" xfId="20" applyFont="1" applyBorder="1" applyAlignment="1">
      <x:alignment horizontal="general" vertical="bottom" wrapText="1"/>
    </x:xf>
    <x:xf numFmtId="164" fontId="7" fillId="9" borderId="0" xfId="20" applyFont="1" applyBorder="1" applyAlignment="0">
      <x:alignment horizontal="general" vertical="bottom" wrapText="0"/>
    </x:xf>
  </x:cellXfs>
  <x:cellStyles count="7">
    <x:cellStyle name="Normal" xfId="0"/>
    <x:cellStyle name="Comma" xfId="15"/>
    <x:cellStyle name="Comma [0]" xfId="16"/>
    <x:cellStyle name="Currency" xfId="17"/>
    <x:cellStyle name="Currency [0]" xfId="18"/>
    <x:cellStyle name="Percent" xfId="19"/>
    <x:cellStyle name="Normal" xfId="20"/>
  </x:cellStyles>
  <x:dxfs count="13">
    <x:dxf>
      <x:fill>
        <x:patternFill>
          <x:bgColor rgb="FF203864"/>
        </x:patternFill>
      </x:fill>
    </x:dxf>
    <x:dxf>
      <x:fill>
        <x:patternFill>
          <x:bgColor rgb="FF000000"/>
        </x:patternFill>
      </x:fill>
    </x:dxf>
    <x:dxf>
      <x:fill>
        <x:patternFill>
          <x:bgColor rgb="FFFFFFFF"/>
        </x:patternFill>
      </x:fill>
    </x:dxf>
    <x:dxf>
      <x:fill>
        <x:patternFill>
          <x:bgColor rgb="FFF4CCCC"/>
        </x:patternFill>
      </x:fill>
    </x:dxf>
    <x:dxf>
      <x:fill>
        <x:patternFill>
          <x:bgColor rgb="FFFFF2CC"/>
        </x:patternFill>
      </x:fill>
    </x:dxf>
    <x:dxf>
      <x:fill>
        <x:patternFill>
          <x:bgColor rgb="FF7F6000"/>
        </x:patternFill>
      </x:fill>
    </x:dxf>
    <x:dxf>
      <x:fill>
        <x:patternFill>
          <x:bgColor rgb="FF9C0006"/>
        </x:patternFill>
      </x:fill>
    </x:dxf>
    <x:dxf>
      <x:font>
        <x:b/>
        <x:color rgb="FF9C0006"/>
      </x:font>
      <x:fill>
        <x:patternFill>
          <x:bgColor rgb="FFF4CCCC"/>
        </x:patternFill>
      </x:fill>
    </x:dxf>
    <x:dxf>
      <x:font>
        <x:b/>
        <x:color rgb="FF7F6000"/>
      </x:font>
      <x:fill>
        <x:patternFill>
          <x:bgColor rgb="FFFFF2CC"/>
        </x:patternFill>
      </x:fill>
    </x:dxf>
    <x:dxf>
      <x:font>
        <x:b/>
        <x:color rgb="FF274E13"/>
      </x:font>
      <x:fill>
        <x:patternFill>
          <x:bgColor rgb="FFD9EAD3"/>
        </x:patternFill>
      </x:fill>
    </x:dxf>
    <x:dxf>
      <x:font>
        <x:color rgb="FF274E13"/>
      </x:font>
      <x:fill>
        <x:patternFill>
          <x:bgColor rgb="FFD9EAD3"/>
        </x:patternFill>
      </x:fill>
    </x:dxf>
    <x:dxf>
      <x:font>
        <x:color rgb="FF073763"/>
      </x:font>
      <x:fill>
        <x:patternFill>
          <x:bgColor rgb="FFCFE2F3"/>
        </x:patternFill>
      </x:fill>
    </x:dxf>
    <x:dxf>
      <x:font>
        <x:color rgb="FF9C0006"/>
      </x:font>
      <x:fill>
        <x:patternFill>
          <x:bgColor rgb="FFF4CCCC"/>
        </x:patternFill>
      </x:fill>
    </x:dxf>
  </x:dxfs>
  <x:colors>
    <x:indexedColors>
      <x:rgbColor rgb="FF000000"/>
      <x:rgbColor rgb="FFFFFFFF"/>
      <x:rgbColor rgb="FFFF0000"/>
      <x:rgbColor rgb="FF00FF00"/>
      <x:rgbColor rgb="FF0000FF"/>
      <x:rgbColor rgb="FFFFFF00"/>
      <x:rgbColor rgb="FFFF00FF"/>
      <x:rgbColor rgb="FF00FFFF"/>
      <x:rgbColor rgb="FF9C0006"/>
      <x:rgbColor rgb="FF196B24"/>
      <x:rgbColor rgb="FF000080"/>
      <x:rgbColor rgb="FF7F6000"/>
      <x:rgbColor rgb="FF800080"/>
      <x:rgbColor rgb="FF156082"/>
      <x:rgbColor rgb="FFB7C9D6"/>
      <x:rgbColor rgb="FF7F8C8D"/>
      <x:rgbColor rgb="FF5B9BD5"/>
      <x:rgbColor rgb="FF993366"/>
      <x:rgbColor rgb="FFFFF2CC"/>
      <x:rgbColor rgb="FFD9EAF7"/>
      <x:rgbColor rgb="FF660066"/>
      <x:rgbColor rgb="FFFF8080"/>
      <x:rgbColor rgb="FF0066CC"/>
      <x:rgbColor rgb="FFCFE2F3"/>
      <x:rgbColor rgb="FF000080"/>
      <x:rgbColor rgb="FFFF00FF"/>
      <x:rgbColor rgb="FFFFFF00"/>
      <x:rgbColor rgb="FF00FFFF"/>
      <x:rgbColor rgb="FF800080"/>
      <x:rgbColor rgb="FF800000"/>
      <x:rgbColor rgb="FF008080"/>
      <x:rgbColor rgb="FF0000FF"/>
      <x:rgbColor rgb="FF00CCFF"/>
      <x:rgbColor rgb="FFEAF2F8"/>
      <x:rgbColor rgb="FFD9EAD3"/>
      <x:rgbColor rgb="FFFFFF99"/>
      <x:rgbColor rgb="FFD9D9D9"/>
      <x:rgbColor rgb="FFFF99CC"/>
      <x:rgbColor rgb="FFCC99FF"/>
      <x:rgbColor rgb="FFF4CCCC"/>
      <x:rgbColor rgb="FF4472C4"/>
      <x:rgbColor rgb="FF33CCCC"/>
      <x:rgbColor rgb="FF99CC00"/>
      <x:rgbColor rgb="FFFFCC00"/>
      <x:rgbColor rgb="FFFF9900"/>
      <x:rgbColor rgb="FFE97132"/>
      <x:rgbColor rgb="FF666699"/>
      <x:rgbColor rgb="FF70AD47"/>
      <x:rgbColor rgb="FF073763"/>
      <x:rgbColor rgb="FF339966"/>
      <x:rgbColor rgb="FF274E13"/>
      <x:rgbColor rgb="FF1F1F1F"/>
      <x:rgbColor rgb="FF993300"/>
      <x:rgbColor rgb="FF993366"/>
      <x:rgbColor rgb="FF1F4E78"/>
      <x:rgbColor rgb="FF203864"/>
    </x:indexedColors>
  </x:colors>
</x:styleSheet>
</file>

<file path=xl/_rels/workbook.xml.rels>&#65279;<?xml version="1.0" encoding="utf-8"?><Relationships xmlns="http://schemas.openxmlformats.org/package/2006/relationships"><Relationship Type="http://schemas.openxmlformats.org/officeDocument/2006/relationships/styles" Target="/xl/styles.xml" Id="R12d9c127548340ef" /><Relationship Type="http://schemas.openxmlformats.org/officeDocument/2006/relationships/theme" Target="/xl/theme/theme1.xml" Id="R49ecdfbac01f43af" /><Relationship Type="http://schemas.openxmlformats.org/officeDocument/2006/relationships/sharedStrings" Target="/xl/sharedStrings.xml" Id="R82af283bdc884224" /><Relationship Type="http://schemas.openxmlformats.org/officeDocument/2006/relationships/worksheet" Target="/xl/worksheets/sheet1.xml" Id="Redc12c3f4acf45fc" /><Relationship Type="http://schemas.openxmlformats.org/officeDocument/2006/relationships/worksheet" Target="/xl/worksheets/sheet2.xml" Id="Rcc4a2492cf9b469d" /><Relationship Type="http://schemas.openxmlformats.org/officeDocument/2006/relationships/worksheet" Target="/xl/worksheets/sheet3.xml" Id="R82b72b0ca1c64a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f39c6171b4bd4c9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spc="-1">
                <a:solidFill>
                  <a:srgbClr val="000000"/>
                </a:solidFill>
                <a:latin typeface="Calibri"/>
                <a:ea typeface="Calibri"/>
                <a:cs typeface="Calibri"/>
              </a:rPr>
              <a:t>Phân bố ưu tiên</a:t>
            </a:r>
          </a:p>
        </c:rich>
      </c:tx>
      <c:overlay val="0"/>
      <c:txPr>
        <a:bodyPr xmlns:a="http://schemas.openxmlformats.org/drawingml/2006/main" anchorCtr="1"/>
        <a:lstStyle xmlns:a="http://schemas.openxmlformats.org/drawingml/2006/main"/>
        <a:p xmlns:a="http://schemas.openxmlformats.org/drawingml/2006/main">
          <a:pPr>
            <a:defRPr sz="1800" b="1" spc="-1">
              <a:solidFill>
                <a:srgbClr val="000000"/>
              </a:solidFill>
              <a:latin typeface="Calibri"/>
              <a:ea typeface="Calibri"/>
              <a:cs typeface="Calibri"/>
            </a:defRPr>
          </a:pPr>
        </a:p>
      </c:txPr>
    </c:title>
    <c:autoTitleDeleted val="0"/>
    <c:plotArea>
      <c:pieChart>
        <c:ser>
          <c:idx val="0"/>
          <c:order val="0"/>
          <c:tx>
            <c:strRef>
              <c:f>"Count"</c:f>
              <c:strCache>
                <c:ptCount val="1"/>
                <c:pt idx="0">
                  <c:v>Count</c:v>
                </c:pt>
              </c:strCache>
            </c:strRef>
          </c:tx>
          <c:spPr>
            <a:solidFill xmlns:a="http://schemas.openxmlformats.org/drawingml/2006/main">
              <a:srgbClr val="156082"/>
            </a:solidFill>
            <a:ln xmlns:a="http://schemas.openxmlformats.org/drawingml/2006/main" w="0">
              <a:noFill/>
            </a:ln>
          </c:spPr>
          <c:explosion val="0"/>
          <c:dPt>
            <c:idx val="0"/>
            <c:spPr>
              <a:solidFill xmlns:a="http://schemas.openxmlformats.org/drawingml/2006/main">
                <a:srgbClr val="156082"/>
              </a:solidFill>
              <a:ln xmlns:a="http://schemas.openxmlformats.org/drawingml/2006/main" w="0">
                <a:noFill/>
              </a:ln>
            </c:spPr>
          </c:dPt>
          <c:dPt>
            <c:idx val="1"/>
            <c:spPr>
              <a:solidFill xmlns:a="http://schemas.openxmlformats.org/drawingml/2006/main">
                <a:srgbClr val="E97132"/>
              </a:solidFill>
              <a:ln xmlns:a="http://schemas.openxmlformats.org/drawingml/2006/main" w="0">
                <a:noFill/>
              </a:ln>
            </c:spPr>
          </c:dPt>
          <c:dPt>
            <c:idx val="2"/>
            <c:spPr>
              <a:solidFill xmlns:a="http://schemas.openxmlformats.org/drawingml/2006/main">
                <a:srgbClr val="196B24"/>
              </a:solidFill>
              <a:ln xmlns:a="http://schemas.openxmlformats.org/drawingml/2006/main" w="0">
                <a:noFill/>
              </a:ln>
            </c:spPr>
          </c:dPt>
          <c:dLbls>
            <c:dLbl>
              <c:idx val="0"/>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dLbl>
            <c:dLbl>
              <c:idx val="1"/>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dLbl>
            <c:dLbl>
              <c:idx val="2"/>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dLbl>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separator> </c:separator>
            <c:showLeaderLines val="1"/>
          </c:dLbls>
          <c:cat>
            <c:strRef>
              <c:f>'Product Backlog'!$N$3:$N$5</c:f>
              <c:strCache>
                <c:ptCount val="3"/>
                <c:pt idx="0">
                  <c:v>Must</c:v>
                </c:pt>
                <c:pt idx="1">
                  <c:v>Should</c:v>
                </c:pt>
                <c:pt idx="2">
                  <c:v>Could</c:v>
                </c:pt>
              </c:strCache>
            </c:strRef>
          </c:cat>
          <c:val>
            <c:numRef>
              <c:f>'Product Backlog'!$O$3:$O$5</c:f>
              <c:numCache>
                <c:formatCode>General</c:formatCode>
                <c:ptCount val="3"/>
                <c:pt idx="0">
                  <c:v>24</c:v>
                </c:pt>
                <c:pt idx="1">
                  <c:v>5</c:v>
                </c:pt>
                <c:pt idx="2">
                  <c:v>2</c:v>
                </c:pt>
              </c:numCache>
            </c:numRef>
          </c:val>
        </c:ser>
        <c:firstSliceAng val="0"/>
      </c:pieChart>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13</xdr:col>
      <xdr:colOff>0</xdr:colOff>
      <xdr:row>6</xdr:row>
      <xdr:rowOff>0</xdr:rowOff>
    </xdr:from>
    <xdr:to>
      <xdr:col>19</xdr:col>
      <xdr:colOff>611280</xdr:colOff>
      <xdr:row>9</xdr:row>
      <xdr:rowOff>1054080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9c6171b4bd4c98"/>
        </a:graphicData>
      </a:graphic>
    </xdr:graphicFrame>
    <xdr:clientData/>
  </xdr:twoCellAnchor>
</xdr:wsDr>
</file>

<file path=xl/tables/table1.xml><?xml version="1.0" encoding="utf-8"?>
<x:table xmlns:x="http://schemas.openxmlformats.org/spreadsheetml/2006/main" id="1" name="ProductBacklogTable" displayName="ProductBacklogTable" ref="A7:L31" headerRowCount="1" totalsRowCount="0" totalsRowShown="0">
  <x:tableColumns count="12">
    <x:tableColumn id="1" name="Rank"/>
    <x:tableColumn id="2" name="PBI ID"/>
    <x:tableColumn id="3" name="Epic"/>
    <x:tableColumn id="4" name="User Story"/>
    <x:tableColumn id="5" name="Acceptance Criteria"/>
    <x:tableColumn id="6" name="Priority"/>
    <x:tableColumn id="7" name="Story Points"/>
    <x:tableColumn id="8" name="Status"/>
    <x:tableColumn id="9" name="Sprint"/>
    <x:tableColumn id="10" name="Owner"/>
    <x:tableColumn id="11" name="Dependencies"/>
    <x:tableColumn id="12" name="Notes"/>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9c445ec22ff44a4" /><Relationship Type="http://schemas.openxmlformats.org/officeDocument/2006/relationships/table" Target="/xl/tables/table1.xml" Id="R5f36edbeaf724fcb"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7" hidden="0" customWidth="1"/>
    <x:col min="2" max="2" width="10" hidden="0" customWidth="1"/>
    <x:col min="3" max="3" width="22" hidden="0" customWidth="1"/>
    <x:col min="4" max="4" width="42" hidden="0" customWidth="1"/>
    <x:col min="5" max="5" width="45" hidden="0" customWidth="1"/>
    <x:col min="6" max="6" width="11" hidden="0" customWidth="1"/>
    <x:col min="7" max="7" width="12" hidden="0" customWidth="1"/>
    <x:col min="8" max="8" width="14" hidden="0" customWidth="1"/>
    <x:col min="9" max="9" width="11" hidden="0" customWidth="1"/>
    <x:col min="10" max="10" width="16" hidden="0" customWidth="1"/>
    <x:col min="11" max="11" width="20" hidden="0" customWidth="1"/>
    <x:col min="12" max="12" width="40" hidden="0" customWidth="1"/>
    <x:col min="13" max="13" width="26" hidden="0" customWidth="1"/>
  </x:cols>
  <x:sheetData>
    <x:row r="1" ht="30" hidden="0" customHeight="1">
      <x:c r="A1" s="1" t="s">
        <x:v>0</x:v>
      </x:c>
      <x:c r="B1" s="1"/>
      <x:c r="C1" s="1"/>
      <x:c r="D1" s="1"/>
      <x:c r="E1" s="1"/>
      <x:c r="F1" s="1"/>
      <x:c r="G1" s="1"/>
      <x:c r="H1" s="1"/>
      <x:c r="I1" s="1"/>
      <x:c r="J1" s="1"/>
      <x:c r="K1" s="1"/>
      <x:c r="L1" s="1"/>
    </x:row>
    <x:row r="2" ht="15" hidden="0">
      <x:c r="A2" s="2" t="s">
        <x:v>1</x:v>
      </x:c>
      <x:c r="B2" s="2"/>
      <x:c r="C2" s="2"/>
      <x:c r="D2" s="2"/>
      <x:c r="E2" s="2"/>
      <x:c r="F2" s="2"/>
      <x:c r="G2" s="2"/>
      <x:c r="H2" s="2"/>
      <x:c r="I2" s="2"/>
      <x:c r="J2" s="2"/>
      <x:c r="K2" s="2"/>
      <x:c r="L2" s="2"/>
      <x:c r="N2" t="s">
        <x:v>2</x:v>
      </x:c>
      <x:c r="O2" t="s">
        <x:v>3</x:v>
      </x:c>
    </x:row>
    <x:row r="3" ht="15" hidden="0">
      <x:c r="N3" t="s">
        <x:v>4</x:v>
      </x:c>
      <x:c r="O3" t="n">
        <x:f aca="0">COUNTIF(F8:F38,"Must")</x:f>
        <x:v>24</x:v>
      </x:c>
    </x:row>
    <x:row r="4" ht="15" hidden="0">
      <x:c r="A4" s="3" t="s">
        <x:v>5</x:v>
      </x:c>
      <x:c r="B4" s="3" t="s">
        <x:v>6</x:v>
      </x:c>
      <x:c r="C4" s="3" t="s">
        <x:v>4</x:v>
      </x:c>
      <x:c r="D4" s="3" t="s">
        <x:v>7</x:v>
      </x:c>
      <x:c r="E4" s="3" t="s">
        <x:v>8</x:v>
      </x:c>
      <x:c r="F4" s="3" t="s">
        <x:v>9</x:v>
      </x:c>
      <x:c r="G4" s="3" t="s">
        <x:v>10</x:v>
      </x:c>
      <x:c r="H4" s="3" t="s">
        <x:v>11</x:v>
      </x:c>
      <x:c r="N4" t="s">
        <x:v>7</x:v>
      </x:c>
      <x:c r="O4" t="n">
        <x:f aca="0">COUNTIF(F8:F38,"Should")</x:f>
        <x:v>5</x:v>
      </x:c>
    </x:row>
    <x:row r="5" ht="15" hidden="0">
      <x:c r="A5" s="4" t="n">
        <x:f aca="0">COUNTA(B8:B38)</x:f>
        <x:v>31</x:v>
      </x:c>
      <x:c r="B5" s="4" t="n">
        <x:f aca="0">SUM(G8:G38)</x:f>
        <x:v>124</x:v>
      </x:c>
      <x:c r="C5" s="4" t="n">
        <x:f aca="0">COUNTIF(F8:F38,"Must")</x:f>
        <x:v>24</x:v>
      </x:c>
      <x:c r="D5" s="4" t="n">
        <x:f aca="0">COUNTIF(F8:F38,"Should")</x:f>
        <x:v>5</x:v>
      </x:c>
      <x:c r="E5" s="4" t="n">
        <x:f aca="0">COUNTIF(F8:F38,"Could")</x:f>
        <x:v>2</x:v>
      </x:c>
      <x:c r="F5" s="4" t="n">
        <x:f aca="0">COUNTIF(H8:H38,"Done")</x:f>
        <x:v>0</x:v>
      </x:c>
      <x:c r="G5" s="4" t="n">
        <x:f aca="0">COUNTIF(H8:H38,"In Progress")</x:f>
        <x:v>0</x:v>
      </x:c>
      <x:c r="H5" s="4" t="n">
        <x:f aca="0">COUNTIF(H8:H38,"Blocked")</x:f>
        <x:v>0</x:v>
      </x:c>
      <x:c r="N5" t="s">
        <x:v>8</x:v>
      </x:c>
      <x:c r="O5" t="n">
        <x:f aca="0">COUNTIF(F8:F38,"Could")</x:f>
        <x:v>2</x:v>
      </x:c>
    </x:row>
    <x:row r="7" ht="15" hidden="0">
      <x:c r="A7" s="5" t="s">
        <x:v>12</x:v>
      </x:c>
      <x:c r="B7" s="6" t="s">
        <x:v>13</x:v>
      </x:c>
      <x:c r="C7" s="6" t="s">
        <x:v>14</x:v>
      </x:c>
      <x:c r="D7" s="6" t="s">
        <x:v>15</x:v>
      </x:c>
      <x:c r="E7" s="6" t="s">
        <x:v>16</x:v>
      </x:c>
      <x:c r="F7" s="6" t="s">
        <x:v>2</x:v>
      </x:c>
      <x:c r="G7" s="6" t="s">
        <x:v>17</x:v>
      </x:c>
      <x:c r="H7" s="6" t="s">
        <x:v>18</x:v>
      </x:c>
      <x:c r="I7" s="6" t="s">
        <x:v>19</x:v>
      </x:c>
      <x:c r="J7" s="6" t="s">
        <x:v>20</x:v>
      </x:c>
      <x:c r="K7" s="6" t="s">
        <x:v>21</x:v>
      </x:c>
      <x:c r="L7" s="7" t="s">
        <x:v>22</x:v>
      </x:c>
      <x:c r="M7" s="7" t="s">
        <x:v>23</x:v>
      </x:c>
    </x:row>
    <x:row r="8" ht="41.75" hidden="0">
      <x:c r="A8" s="8" t="n">
        <x:v>1</x:v>
      </x:c>
      <x:c r="B8" s="9" t="s">
        <x:v>24</x:v>
      </x:c>
      <x:c r="C8" s="10" t="s">
        <x:v>25</x:v>
      </x:c>
      <x:c r="D8" s="10" t="s">
        <x:v>26</x:v>
      </x:c>
      <x:c r="E8" s="10" t="s">
        <x:v>27</x:v>
      </x:c>
      <x:c r="F8" s="9" t="s">
        <x:v>4</x:v>
      </x:c>
      <x:c r="G8" s="11" t="n">
        <x:v>2</x:v>
      </x:c>
      <x:c r="H8" s="9" t="s">
        <x:v>28</x:v>
      </x:c>
      <x:c r="I8" s="9" t="s">
        <x:v>29</x:v>
      </x:c>
      <x:c r="J8" s="12"/>
      <x:c r="K8" s="10"/>
      <x:c r="L8" s="13" t="s">
        <x:v>30</x:v>
      </x:c>
      <x:c r="M8" s="13" t="s">
        <x:v>31</x:v>
      </x:c>
    </x:row>
    <x:row r="9" ht="55.20000076293945" hidden="0">
      <x:c r="A9" s="8" t="n">
        <x:v>2</x:v>
      </x:c>
      <x:c r="B9" s="9" t="s">
        <x:v>32</x:v>
      </x:c>
      <x:c r="C9" s="10" t="s">
        <x:v>25</x:v>
      </x:c>
      <x:c r="D9" s="10" t="s">
        <x:v>33</x:v>
      </x:c>
      <x:c r="E9" s="10" t="s">
        <x:v>34</x:v>
      </x:c>
      <x:c r="F9" s="9" t="s">
        <x:v>4</x:v>
      </x:c>
      <x:c r="G9" s="11" t="n">
        <x:v>3</x:v>
      </x:c>
      <x:c r="H9" s="9" t="s">
        <x:v>28</x:v>
      </x:c>
      <x:c r="I9" s="9" t="s">
        <x:v>29</x:v>
      </x:c>
      <x:c r="J9" s="12"/>
      <x:c r="K9" s="10" t="s">
        <x:v>24</x:v>
      </x:c>
      <x:c r="L9" s="13" t="s">
        <x:v>35</x:v>
      </x:c>
      <x:c r="M9" s="13" t="s">
        <x:v>36</x:v>
      </x:c>
    </x:row>
    <x:row r="10" ht="95.5" hidden="0">
      <x:c r="A10" s="8" t="n">
        <x:v>3</x:v>
      </x:c>
      <x:c r="B10" s="9" t="s">
        <x:v>37</x:v>
      </x:c>
      <x:c r="C10" s="10" t="s">
        <x:v>25</x:v>
      </x:c>
      <x:c r="D10" s="10" t="s">
        <x:v>38</x:v>
      </x:c>
      <x:c r="E10" s="10" t="s">
        <x:v>39</x:v>
      </x:c>
      <x:c r="F10" s="9" t="s">
        <x:v>4</x:v>
      </x:c>
      <x:c r="G10" s="11" t="n">
        <x:v>5</x:v>
      </x:c>
      <x:c r="H10" s="9" t="s">
        <x:v>28</x:v>
      </x:c>
      <x:c r="I10" s="9" t="s">
        <x:v>29</x:v>
      </x:c>
      <x:c r="J10" s="12"/>
      <x:c r="K10" s="10" t="s">
        <x:v>32</x:v>
      </x:c>
      <x:c r="L10" s="13" t="s">
        <x:v>40</x:v>
      </x:c>
      <x:c r="M10" s="13" t="s">
        <x:v>41</x:v>
      </x:c>
    </x:row>
    <x:row r="11" ht="55.20000076293945" hidden="0">
      <x:c r="A11" s="8" t="n">
        <x:v>4</x:v>
      </x:c>
      <x:c r="B11" s="9" t="s">
        <x:v>42</x:v>
      </x:c>
      <x:c r="C11" s="10" t="s">
        <x:v>25</x:v>
      </x:c>
      <x:c r="D11" s="10" t="s">
        <x:v>43</x:v>
      </x:c>
      <x:c r="E11" s="10" t="s">
        <x:v>44</x:v>
      </x:c>
      <x:c r="F11" s="9" t="s">
        <x:v>4</x:v>
      </x:c>
      <x:c r="G11" s="11" t="n">
        <x:v>5</x:v>
      </x:c>
      <x:c r="H11" s="9" t="s">
        <x:v>28</x:v>
      </x:c>
      <x:c r="I11" s="9" t="s">
        <x:v>29</x:v>
      </x:c>
      <x:c r="J11" s="12"/>
      <x:c r="K11" s="10" t="s">
        <x:v>37</x:v>
      </x:c>
      <x:c r="L11" s="13" t="s">
        <x:v>45</x:v>
      </x:c>
      <x:c r="M11" s="13" t="s">
        <x:v>46</x:v>
      </x:c>
    </x:row>
    <x:row r="12" ht="68.6500015258789" hidden="0">
      <x:c r="A12" s="8" t="n">
        <x:v>5</x:v>
      </x:c>
      <x:c r="B12" s="9" t="s">
        <x:v>47</x:v>
      </x:c>
      <x:c r="C12" s="10" t="s">
        <x:v>48</x:v>
      </x:c>
      <x:c r="D12" s="10" t="s">
        <x:v>49</x:v>
      </x:c>
      <x:c r="E12" s="10" t="s">
        <x:v>50</x:v>
      </x:c>
      <x:c r="F12" s="9" t="s">
        <x:v>4</x:v>
      </x:c>
      <x:c r="G12" s="11" t="n">
        <x:v>3</x:v>
      </x:c>
      <x:c r="H12" s="9" t="s">
        <x:v>28</x:v>
      </x:c>
      <x:c r="I12" s="9" t="s">
        <x:v>29</x:v>
      </x:c>
      <x:c r="J12" s="12"/>
      <x:c r="K12" s="10" t="s">
        <x:v>32</x:v>
      </x:c>
      <x:c r="L12" s="13" t="s">
        <x:v>51</x:v>
      </x:c>
      <x:c r="M12" s="13" t="s">
        <x:v>52</x:v>
      </x:c>
    </x:row>
    <x:row r="13" ht="55.20000076293945" hidden="0">
      <x:c r="A13" s="8" t="n">
        <x:v>6</x:v>
      </x:c>
      <x:c r="B13" s="9" t="s">
        <x:v>53</x:v>
      </x:c>
      <x:c r="C13" s="10" t="s">
        <x:v>54</x:v>
      </x:c>
      <x:c r="D13" s="10" t="s">
        <x:v>55</x:v>
      </x:c>
      <x:c r="E13" s="10" t="s">
        <x:v>56</x:v>
      </x:c>
      <x:c r="F13" s="9" t="s">
        <x:v>4</x:v>
      </x:c>
      <x:c r="G13" s="11" t="n">
        <x:v>3</x:v>
      </x:c>
      <x:c r="H13" s="9" t="s">
        <x:v>28</x:v>
      </x:c>
      <x:c r="I13" s="9" t="s">
        <x:v>29</x:v>
      </x:c>
      <x:c r="J13" s="12"/>
      <x:c r="K13" s="10" t="s">
        <x:v>37</x:v>
      </x:c>
      <x:c r="L13" s="13" t="s">
        <x:v>57</x:v>
      </x:c>
      <x:c r="M13" s="13" t="s">
        <x:v>58</x:v>
      </x:c>
    </x:row>
    <x:row r="14" ht="55.20000076293945" hidden="0">
      <x:c r="A14" s="8" t="n">
        <x:v>7</x:v>
      </x:c>
      <x:c r="B14" s="9" t="s">
        <x:v>59</x:v>
      </x:c>
      <x:c r="C14" s="10" t="s">
        <x:v>60</x:v>
      </x:c>
      <x:c r="D14" s="10" t="s">
        <x:v>61</x:v>
      </x:c>
      <x:c r="E14" s="10" t="s">
        <x:v>62</x:v>
      </x:c>
      <x:c r="F14" s="9" t="s">
        <x:v>4</x:v>
      </x:c>
      <x:c r="G14" s="11" t="n">
        <x:v>2</x:v>
      </x:c>
      <x:c r="H14" s="9" t="s">
        <x:v>28</x:v>
      </x:c>
      <x:c r="I14" s="9" t="s">
        <x:v>29</x:v>
      </x:c>
      <x:c r="J14" s="12"/>
      <x:c r="K14" s="10" t="s">
        <x:v>24</x:v>
      </x:c>
      <x:c r="L14" s="13"/>
      <x:c r="M14" s="13" t="s">
        <x:v>63</x:v>
      </x:c>
    </x:row>
    <x:row r="15" ht="41.75" hidden="0">
      <x:c r="A15" s="8" t="n">
        <x:v>8</x:v>
      </x:c>
      <x:c r="B15" s="9" t="s">
        <x:v>64</x:v>
      </x:c>
      <x:c r="C15" s="10" t="s">
        <x:v>65</x:v>
      </x:c>
      <x:c r="D15" s="10" t="s">
        <x:v>66</x:v>
      </x:c>
      <x:c r="E15" s="10" t="str">
        <x:v>Khi truy cập lần đầu, backend cấp cookie clientId ngẫu nhiên (HttpOnly/SameSite=Lax; Secure khi HTTPS); tên mặc định “Người học”; xóa cookie tạo người học mới; không có đăng ký/đăng nhập.</x:v>
      </x:c>
      <x:c r="F15" s="9" t="s">
        <x:v>4</x:v>
      </x:c>
      <x:c r="G15" s="11" t="n">
        <x:v>3</x:v>
      </x:c>
      <x:c r="H15" s="9" t="s">
        <x:v>28</x:v>
      </x:c>
      <x:c r="I15" s="9" t="s">
        <x:v>29</x:v>
      </x:c>
      <x:c r="J15" s="12"/>
      <x:c r="K15" s="10" t="s">
        <x:v>24</x:v>
      </x:c>
      <x:c r="L15" s="13" t="s">
        <x:v>67</x:v>
      </x:c>
      <x:c r="M15" s="13" t="s">
        <x:v>68</x:v>
      </x:c>
    </x:row>
    <x:row r="16" ht="68.6500015258789" hidden="0">
      <x:c r="A16" s="8" t="n">
        <x:v>9</x:v>
      </x:c>
      <x:c r="B16" s="9" t="s">
        <x:v>69</x:v>
      </x:c>
      <x:c r="C16" s="10" t="s">
        <x:v>54</x:v>
      </x:c>
      <x:c r="D16" s="10" t="s">
        <x:v>70</x:v>
      </x:c>
      <x:c r="E16" s="10" t="s">
        <x:v>71</x:v>
      </x:c>
      <x:c r="F16" s="9" t="s">
        <x:v>4</x:v>
      </x:c>
      <x:c r="G16" s="11" t="n">
        <x:v>8</x:v>
      </x:c>
      <x:c r="H16" s="9" t="s">
        <x:v>28</x:v>
      </x:c>
      <x:c r="I16" s="9" t="s">
        <x:v>72</x:v>
      </x:c>
      <x:c r="J16" s="12"/>
      <x:c r="K16" s="10" t="s">
        <x:v>73</x:v>
      </x:c>
      <x:c r="L16" s="13" t="s">
        <x:v>74</x:v>
      </x:c>
      <x:c r="M16" s="13" t="s">
        <x:v>75</x:v>
      </x:c>
    </x:row>
    <x:row r="17" ht="41.75" hidden="0">
      <x:c r="A17" s="8" t="n">
        <x:v>10</x:v>
      </x:c>
      <x:c r="B17" s="9" t="s">
        <x:v>76</x:v>
      </x:c>
      <x:c r="C17" s="10" t="s">
        <x:v>54</x:v>
      </x:c>
      <x:c r="D17" s="10" t="s">
        <x:v>77</x:v>
      </x:c>
      <x:c r="E17" s="10" t="s">
        <x:v>78</x:v>
      </x:c>
      <x:c r="F17" s="9" t="s">
        <x:v>4</x:v>
      </x:c>
      <x:c r="G17" s="11" t="n">
        <x:v>3</x:v>
      </x:c>
      <x:c r="H17" s="9" t="s">
        <x:v>28</x:v>
      </x:c>
      <x:c r="I17" s="9" t="s">
        <x:v>72</x:v>
      </x:c>
      <x:c r="J17" s="12"/>
      <x:c r="K17" s="10" t="s">
        <x:v>79</x:v>
      </x:c>
      <x:c r="L17" s="13"/>
      <x:c r="M17" s="13" t="s">
        <x:v>80</x:v>
      </x:c>
    </x:row>
    <x:row r="18" ht="55.20000076293945" hidden="0">
      <x:c r="A18" s="8" t="n">
        <x:v>11</x:v>
      </x:c>
      <x:c r="B18" s="9" t="s">
        <x:v>81</x:v>
      </x:c>
      <x:c r="C18" s="10" t="s">
        <x:v>54</x:v>
      </x:c>
      <x:c r="D18" s="10" t="s">
        <x:v>82</x:v>
      </x:c>
      <x:c r="E18" s="10" t="s">
        <x:v>83</x:v>
      </x:c>
      <x:c r="F18" s="9" t="s">
        <x:v>4</x:v>
      </x:c>
      <x:c r="G18" s="11" t="n">
        <x:v>5</x:v>
      </x:c>
      <x:c r="H18" s="9" t="s">
        <x:v>28</x:v>
      </x:c>
      <x:c r="I18" s="9" t="s">
        <x:v>72</x:v>
      </x:c>
      <x:c r="J18" s="12"/>
      <x:c r="K18" s="10" t="s">
        <x:v>84</x:v>
      </x:c>
      <x:c r="L18" s="13"/>
      <x:c r="M18" s="13" t="s">
        <x:v>85</x:v>
      </x:c>
    </x:row>
    <x:row r="19" ht="68.6500015258789" hidden="0">
      <x:c r="A19" s="8" t="n">
        <x:v>12</x:v>
      </x:c>
      <x:c r="B19" s="9" t="s">
        <x:v>86</x:v>
      </x:c>
      <x:c r="C19" s="10" t="s">
        <x:v>87</x:v>
      </x:c>
      <x:c r="D19" s="10" t="s">
        <x:v>88</x:v>
      </x:c>
      <x:c r="E19" s="10" t="s">
        <x:v>89</x:v>
      </x:c>
      <x:c r="F19" s="9" t="s">
        <x:v>4</x:v>
      </x:c>
      <x:c r="G19" s="11" t="n">
        <x:v>3</x:v>
      </x:c>
      <x:c r="H19" s="9" t="s">
        <x:v>28</x:v>
      </x:c>
      <x:c r="I19" s="9" t="s">
        <x:v>72</x:v>
      </x:c>
      <x:c r="J19" s="12"/>
      <x:c r="K19" s="10" t="s">
        <x:v>90</x:v>
      </x:c>
      <x:c r="L19" s="13" t="s">
        <x:v>91</x:v>
      </x:c>
      <x:c r="M19" s="13" t="s">
        <x:v>92</x:v>
      </x:c>
    </x:row>
    <x:row r="20" ht="41.75" hidden="0">
      <x:c r="A20" s="8" t="n">
        <x:v>13</x:v>
      </x:c>
      <x:c r="B20" s="9" t="s">
        <x:v>93</x:v>
      </x:c>
      <x:c r="C20" s="10" t="s">
        <x:v>60</x:v>
      </x:c>
      <x:c r="D20" s="10" t="s">
        <x:v>94</x:v>
      </x:c>
      <x:c r="E20" s="10" t="s">
        <x:v>95</x:v>
      </x:c>
      <x:c r="F20" s="9" t="s">
        <x:v>4</x:v>
      </x:c>
      <x:c r="G20" s="11" t="n">
        <x:v>2</x:v>
      </x:c>
      <x:c r="H20" s="9" t="s">
        <x:v>28</x:v>
      </x:c>
      <x:c r="I20" s="9" t="s">
        <x:v>72</x:v>
      </x:c>
      <x:c r="J20" s="12"/>
      <x:c r="K20" s="10" t="s">
        <x:v>81</x:v>
      </x:c>
      <x:c r="L20" s="13" t="s">
        <x:v>96</x:v>
      </x:c>
      <x:c r="M20" s="13" t="s">
        <x:v>97</x:v>
      </x:c>
    </x:row>
    <x:row r="21" ht="82.05000305175781" hidden="0">
      <x:c r="A21" s="8" t="n">
        <x:v>14</x:v>
      </x:c>
      <x:c r="B21" s="9" t="s">
        <x:v>98</x:v>
      </x:c>
      <x:c r="C21" s="10" t="s">
        <x:v>60</x:v>
      </x:c>
      <x:c r="D21" s="10" t="str">
        <x:v>Là người học, tôi muốn mỗi loại tứ giác có hình SVG minh họa dễ hiểu và giao diện thống nhất để việc học trực quan trên mọi thiết bị.</x:v>
      </x:c>
      <x:c r="E21" s="10" t="str">
        <x:v>Có đủ 8 SVG tĩnh minh họa đúng đặc điểm từng loại hình, nhãn đỉnh/cạnh rõ ràng; mỗi SVG co giãn không méo hình từ 360px; giao diện dùng thiết kế nhất quán và có thông báo đúng/sai bằng chữ hoặc biểu tượng (không chỉ màu). Không áp đặt phong cách vở ô li khi chưa được nhóm thống nhất.</x:v>
      </x:c>
      <x:c r="F21" s="9" t="s">
        <x:v>4</x:v>
      </x:c>
      <x:c r="G21" s="11" t="n">
        <x:v>5</x:v>
      </x:c>
      <x:c r="H21" s="9" t="s">
        <x:v>28</x:v>
      </x:c>
      <x:c r="I21" s="9" t="s">
        <x:v>72</x:v>
      </x:c>
      <x:c r="J21" s="12"/>
      <x:c r="K21" s="10" t="s">
        <x:v>99</x:v>
      </x:c>
      <x:c r="L21" s="13" t="str">
        <x:v>Điều chỉnh yêu cầu về phong cách vở ô li/DESIGN_BRIEF.md (chưa có quyết định của nhóm) thành yêu cầu minh họa SVG + UI thống nhất, bám SRS v2.1.</x:v>
      </x:c>
      <x:c r="M21" s="13" t="s">
        <x:v>100</x:v>
      </x:c>
    </x:row>
    <x:row r="22" ht="68.6500015258789" hidden="0">
      <x:c r="A22" s="8" t="n">
        <x:v>15</x:v>
      </x:c>
      <x:c r="B22" s="9" t="s">
        <x:v>101</x:v>
      </x:c>
      <x:c r="C22" s="10" t="s">
        <x:v>102</x:v>
      </x:c>
      <x:c r="D22" s="10" t="s">
        <x:v>103</x:v>
      </x:c>
      <x:c r="E22" s="10" t="s">
        <x:v>104</x:v>
      </x:c>
      <x:c r="F22" s="9" t="s">
        <x:v>4</x:v>
      </x:c>
      <x:c r="G22" s="11" t="n">
        <x:v>8</x:v>
      </x:c>
      <x:c r="H22" s="9" t="s">
        <x:v>28</x:v>
      </x:c>
      <x:c r="I22" s="9" t="s">
        <x:v>72</x:v>
      </x:c>
      <x:c r="J22" s="12"/>
      <x:c r="K22" s="10" t="s">
        <x:v>73</x:v>
      </x:c>
      <x:c r="L22" s="13" t="s">
        <x:v>105</x:v>
      </x:c>
      <x:c r="M22" s="13" t="s">
        <x:v>106</x:v>
      </x:c>
    </x:row>
    <x:row r="23" ht="41.75" hidden="0">
      <x:c r="A23" s="8" t="n">
        <x:v>16</x:v>
      </x:c>
      <x:c r="B23" s="9" t="s">
        <x:v>107</x:v>
      </x:c>
      <x:c r="C23" s="10" t="s">
        <x:v>102</x:v>
      </x:c>
      <x:c r="D23" s="10" t="s">
        <x:v>108</x:v>
      </x:c>
      <x:c r="E23" s="10" t="s">
        <x:v>109</x:v>
      </x:c>
      <x:c r="F23" s="9" t="s">
        <x:v>4</x:v>
      </x:c>
      <x:c r="G23" s="11" t="n">
        <x:v>5</x:v>
      </x:c>
      <x:c r="H23" s="9" t="s">
        <x:v>28</x:v>
      </x:c>
      <x:c r="I23" s="9" t="s">
        <x:v>110</x:v>
      </x:c>
      <x:c r="J23" s="12"/>
      <x:c r="K23" s="10" t="s">
        <x:v>101</x:v>
      </x:c>
      <x:c r="L23" s="13" t="s">
        <x:v>111</x:v>
      </x:c>
      <x:c r="M23" s="13" t="s">
        <x:v>112</x:v>
      </x:c>
    </x:row>
    <x:row r="24" ht="41.75" hidden="0">
      <x:c r="A24" s="8" t="n">
        <x:v>17</x:v>
      </x:c>
      <x:c r="B24" s="9" t="s">
        <x:v>113</x:v>
      </x:c>
      <x:c r="C24" s="10" t="s">
        <x:v>102</x:v>
      </x:c>
      <x:c r="D24" s="10" t="s">
        <x:v>114</x:v>
      </x:c>
      <x:c r="E24" s="10" t="s">
        <x:v>115</x:v>
      </x:c>
      <x:c r="F24" s="9" t="s">
        <x:v>4</x:v>
      </x:c>
      <x:c r="G24" s="11" t="n">
        <x:v>3</x:v>
      </x:c>
      <x:c r="H24" s="9" t="s">
        <x:v>28</x:v>
      </x:c>
      <x:c r="I24" s="9" t="s">
        <x:v>110</x:v>
      </x:c>
      <x:c r="J24" s="12"/>
      <x:c r="K24" s="10" t="s">
        <x:v>107</x:v>
      </x:c>
      <x:c r="L24" s="13"/>
      <x:c r="M24" s="13" t="s">
        <x:v>116</x:v>
      </x:c>
    </x:row>
    <x:row r="25" ht="41.75" hidden="0">
      <x:c r="A25" s="8" t="n">
        <x:v>18</x:v>
      </x:c>
      <x:c r="B25" s="9" t="s">
        <x:v>117</x:v>
      </x:c>
      <x:c r="C25" s="10" t="s">
        <x:v>102</x:v>
      </x:c>
      <x:c r="D25" s="10" t="s">
        <x:v>118</x:v>
      </x:c>
      <x:c r="E25" s="10" t="s">
        <x:v>119</x:v>
      </x:c>
      <x:c r="F25" s="9" t="s">
        <x:v>4</x:v>
      </x:c>
      <x:c r="G25" s="11" t="n">
        <x:v>3</x:v>
      </x:c>
      <x:c r="H25" s="9" t="s">
        <x:v>28</x:v>
      </x:c>
      <x:c r="I25" s="9" t="s">
        <x:v>110</x:v>
      </x:c>
      <x:c r="J25" s="12"/>
      <x:c r="K25" s="10" t="s">
        <x:v>120</x:v>
      </x:c>
      <x:c r="L25" s="13"/>
      <x:c r="M25" s="13" t="s">
        <x:v>121</x:v>
      </x:c>
    </x:row>
    <x:row r="26" ht="55.20000076293945" hidden="0">
      <x:c r="A26" s="8" t="n">
        <x:v>19</x:v>
      </x:c>
      <x:c r="B26" s="9" t="s">
        <x:v>122</x:v>
      </x:c>
      <x:c r="C26" s="10" t="s">
        <x:v>123</x:v>
      </x:c>
      <x:c r="D26" s="10" t="s">
        <x:v>124</x:v>
      </x:c>
      <x:c r="E26" s="10" t="s">
        <x:v>125</x:v>
      </x:c>
      <x:c r="F26" s="9" t="s">
        <x:v>4</x:v>
      </x:c>
      <x:c r="G26" s="11" t="n">
        <x:v>5</x:v>
      </x:c>
      <x:c r="H26" s="9" t="s">
        <x:v>28</x:v>
      </x:c>
      <x:c r="I26" s="9" t="s">
        <x:v>110</x:v>
      </x:c>
      <x:c r="J26" s="12"/>
      <x:c r="K26" s="10" t="s">
        <x:v>101</x:v>
      </x:c>
      <x:c r="L26" s="13" t="s">
        <x:v>126</x:v>
      </x:c>
      <x:c r="M26" s="13" t="s">
        <x:v>127</x:v>
      </x:c>
    </x:row>
    <x:row r="27" ht="55.20000076293945" hidden="0">
      <x:c r="A27" s="8" t="n">
        <x:v>20</x:v>
      </x:c>
      <x:c r="B27" s="9" t="s">
        <x:v>128</x:v>
      </x:c>
      <x:c r="C27" s="10" t="s">
        <x:v>123</x:v>
      </x:c>
      <x:c r="D27" s="10" t="s">
        <x:v>129</x:v>
      </x:c>
      <x:c r="E27" s="10" t="s">
        <x:v>130</x:v>
      </x:c>
      <x:c r="F27" s="9" t="s">
        <x:v>4</x:v>
      </x:c>
      <x:c r="G27" s="11" t="n">
        <x:v>5</x:v>
      </x:c>
      <x:c r="H27" s="9" t="s">
        <x:v>28</x:v>
      </x:c>
      <x:c r="I27" s="9" t="s">
        <x:v>110</x:v>
      </x:c>
      <x:c r="J27" s="12"/>
      <x:c r="K27" s="10" t="s">
        <x:v>131</x:v>
      </x:c>
      <x:c r="L27" s="13"/>
      <x:c r="M27" s="13" t="s">
        <x:v>132</x:v>
      </x:c>
    </x:row>
    <x:row r="28" ht="68.6500015258789" hidden="0">
      <x:c r="A28" s="8" t="n">
        <x:v>21</x:v>
      </x:c>
      <x:c r="B28" s="9" t="s">
        <x:v>133</x:v>
      </x:c>
      <x:c r="C28" s="10" t="s">
        <x:v>87</x:v>
      </x:c>
      <x:c r="D28" s="10" t="s">
        <x:v>134</x:v>
      </x:c>
      <x:c r="E28" s="10" t="s">
        <x:v>135</x:v>
      </x:c>
      <x:c r="F28" s="9" t="s">
        <x:v>4</x:v>
      </x:c>
      <x:c r="G28" s="11" t="n">
        <x:v>5</x:v>
      </x:c>
      <x:c r="H28" s="9" t="s">
        <x:v>28</x:v>
      </x:c>
      <x:c r="I28" s="9" t="s">
        <x:v>110</x:v>
      </x:c>
      <x:c r="J28" s="12"/>
      <x:c r="K28" s="10" t="s">
        <x:v>136</x:v>
      </x:c>
      <x:c r="L28" s="13" t="s">
        <x:v>137</x:v>
      </x:c>
      <x:c r="M28" s="13" t="s">
        <x:v>138</x:v>
      </x:c>
    </x:row>
    <x:row r="29" ht="41.75" hidden="0">
      <x:c r="A29" s="8" t="n">
        <x:v>22</x:v>
      </x:c>
      <x:c r="B29" s="9" t="s">
        <x:v>139</x:v>
      </x:c>
      <x:c r="C29" s="10" t="s">
        <x:v>60</x:v>
      </x:c>
      <x:c r="D29" s="10" t="s">
        <x:v>140</x:v>
      </x:c>
      <x:c r="E29" s="10" t="s">
        <x:v>141</x:v>
      </x:c>
      <x:c r="F29" s="9" t="s">
        <x:v>4</x:v>
      </x:c>
      <x:c r="G29" s="11" t="n">
        <x:v>5</x:v>
      </x:c>
      <x:c r="H29" s="9" t="s">
        <x:v>28</x:v>
      </x:c>
      <x:c r="I29" s="9" t="s">
        <x:v>110</x:v>
      </x:c>
      <x:c r="J29" s="12"/>
      <x:c r="K29" s="10" t="s">
        <x:v>142</x:v>
      </x:c>
      <x:c r="L29" s="13" t="s">
        <x:v>143</x:v>
      </x:c>
      <x:c r="M29" s="13" t="s">
        <x:v>144</x:v>
      </x:c>
    </x:row>
    <x:row r="30" ht="55.20000076293945" hidden="0">
      <x:c r="A30" s="8" t="n">
        <x:v>23</x:v>
      </x:c>
      <x:c r="B30" s="9" t="s">
        <x:v>145</x:v>
      </x:c>
      <x:c r="C30" s="10" t="s">
        <x:v>146</x:v>
      </x:c>
      <x:c r="D30" s="10" t="s">
        <x:v>147</x:v>
      </x:c>
      <x:c r="E30" s="10" t="s">
        <x:v>148</x:v>
      </x:c>
      <x:c r="F30" s="9" t="s">
        <x:v>7</x:v>
      </x:c>
      <x:c r="G30" s="11" t="n">
        <x:v>5</x:v>
      </x:c>
      <x:c r="H30" s="9" t="s">
        <x:v>28</x:v>
      </x:c>
      <x:c r="I30" s="9" t="s">
        <x:v>149</x:v>
      </x:c>
      <x:c r="J30" s="12"/>
      <x:c r="K30" s="10" t="s">
        <x:v>150</x:v>
      </x:c>
      <x:c r="L30" s="13" t="s">
        <x:v>151</x:v>
      </x:c>
      <x:c r="M30" s="13" t="s">
        <x:v>152</x:v>
      </x:c>
    </x:row>
    <x:row r="31" ht="55.20000076293945" hidden="0">
      <x:c r="A31" s="8" t="n">
        <x:v>24</x:v>
      </x:c>
      <x:c r="B31" s="9" t="s">
        <x:v>153</x:v>
      </x:c>
      <x:c r="C31" s="10" t="s">
        <x:v>146</x:v>
      </x:c>
      <x:c r="D31" s="10" t="s">
        <x:v>154</x:v>
      </x:c>
      <x:c r="E31" s="10" t="s">
        <x:v>155</x:v>
      </x:c>
      <x:c r="F31" s="9" t="s">
        <x:v>7</x:v>
      </x:c>
      <x:c r="G31" s="11" t="n">
        <x:v>5</x:v>
      </x:c>
      <x:c r="H31" s="9" t="s">
        <x:v>28</x:v>
      </x:c>
      <x:c r="I31" s="9" t="s">
        <x:v>149</x:v>
      </x:c>
      <x:c r="J31" s="12"/>
      <x:c r="K31" s="10" t="s">
        <x:v>145</x:v>
      </x:c>
      <x:c r="L31" s="13"/>
      <x:c r="M31" s="13" t="s">
        <x:v>156</x:v>
      </x:c>
    </x:row>
    <x:row r="32" ht="82.05000305175781" hidden="0">
      <x:c r="A32" s="8" t="n">
        <x:v>25</x:v>
      </x:c>
      <x:c r="B32" s="9" t="s">
        <x:v>157</x:v>
      </x:c>
      <x:c r="C32" s="10" t="s">
        <x:v>87</x:v>
      </x:c>
      <x:c r="D32" s="10" t="s">
        <x:v>158</x:v>
      </x:c>
      <x:c r="E32" s="10" t="s">
        <x:v>159</x:v>
      </x:c>
      <x:c r="F32" s="9" t="s">
        <x:v>7</x:v>
      </x:c>
      <x:c r="G32" s="11" t="n">
        <x:v>5</x:v>
      </x:c>
      <x:c r="H32" s="9" t="s">
        <x:v>28</x:v>
      </x:c>
      <x:c r="I32" s="9" t="s">
        <x:v>149</x:v>
      </x:c>
      <x:c r="J32" s="12"/>
      <x:c r="K32" s="10" t="s">
        <x:v>69</x:v>
      </x:c>
      <x:c r="L32" s="13" t="s">
        <x:v>160</x:v>
      </x:c>
      <x:c r="M32" s="13" t="s">
        <x:v>161</x:v>
      </x:c>
    </x:row>
    <x:row r="33" ht="55.20000076293945" hidden="0">
      <x:c r="A33" s="8" t="n">
        <x:v>26</x:v>
      </x:c>
      <x:c r="B33" s="9" t="s">
        <x:v>162</x:v>
      </x:c>
      <x:c r="C33" s="10" t="s">
        <x:v>65</x:v>
      </x:c>
      <x:c r="D33" s="10" t="s">
        <x:v>163</x:v>
      </x:c>
      <x:c r="E33" s="10" t="s">
        <x:v>164</x:v>
      </x:c>
      <x:c r="F33" s="9" t="s">
        <x:v>7</x:v>
      </x:c>
      <x:c r="G33" s="11" t="n">
        <x:v>2</x:v>
      </x:c>
      <x:c r="H33" s="9" t="s">
        <x:v>28</x:v>
      </x:c>
      <x:c r="I33" s="9" t="s">
        <x:v>149</x:v>
      </x:c>
      <x:c r="J33" s="12"/>
      <x:c r="K33" s="10" t="s">
        <x:v>64</x:v>
      </x:c>
      <x:c r="L33" s="13" t="s">
        <x:v>165</x:v>
      </x:c>
      <x:c r="M33" s="13" t="s">
        <x:v>166</x:v>
      </x:c>
    </x:row>
    <x:row r="34" ht="55.20000076293945" hidden="0">
      <x:c r="A34" s="8" t="n">
        <x:v>27</x:v>
      </x:c>
      <x:c r="B34" s="9" t="s">
        <x:v>167</x:v>
      </x:c>
      <x:c r="C34" s="10" t="s">
        <x:v>87</x:v>
      </x:c>
      <x:c r="D34" s="10" t="s">
        <x:v>168</x:v>
      </x:c>
      <x:c r="E34" s="10" t="s">
        <x:v>169</x:v>
      </x:c>
      <x:c r="F34" s="9" t="s">
        <x:v>7</x:v>
      </x:c>
      <x:c r="G34" s="11" t="n">
        <x:v>3</x:v>
      </x:c>
      <x:c r="H34" s="9" t="s">
        <x:v>28</x:v>
      </x:c>
      <x:c r="I34" s="9" t="s">
        <x:v>149</x:v>
      </x:c>
      <x:c r="J34" s="12"/>
      <x:c r="K34" s="10" t="s">
        <x:v>86</x:v>
      </x:c>
      <x:c r="L34" s="13" t="s">
        <x:v>170</x:v>
      </x:c>
      <x:c r="M34" s="13" t="s">
        <x:v>171</x:v>
      </x:c>
    </x:row>
    <x:row r="35" ht="55.20000076293945" hidden="0">
      <x:c r="A35" s="8" t="n">
        <x:v>28</x:v>
      </x:c>
      <x:c r="B35" s="9" t="s">
        <x:v>172</x:v>
      </x:c>
      <x:c r="C35" s="10" t="s">
        <x:v>48</x:v>
      </x:c>
      <x:c r="D35" s="10" t="s">
        <x:v>173</x:v>
      </x:c>
      <x:c r="E35" s="10" t="s">
        <x:v>174</x:v>
      </x:c>
      <x:c r="F35" s="9" t="s">
        <x:v>4</x:v>
      </x:c>
      <x:c r="G35" s="11" t="n">
        <x:v>5</x:v>
      </x:c>
      <x:c r="H35" s="9" t="s">
        <x:v>28</x:v>
      </x:c>
      <x:c r="I35" s="9" t="s">
        <x:v>149</x:v>
      </x:c>
      <x:c r="J35" s="12"/>
      <x:c r="K35" s="10" t="s">
        <x:v>175</x:v>
      </x:c>
      <x:c r="L35" s="13" t="s">
        <x:v>176</x:v>
      </x:c>
      <x:c r="M35" s="13" t="s">
        <x:v>177</x:v>
      </x:c>
    </x:row>
    <x:row r="36" ht="55.20000076293945" hidden="0">
      <x:c r="A36" s="8" t="n">
        <x:v>29</x:v>
      </x:c>
      <x:c r="B36" s="9" t="s">
        <x:v>178</x:v>
      </x:c>
      <x:c r="C36" s="10" t="s">
        <x:v>179</x:v>
      </x:c>
      <x:c r="D36" s="10" t="s">
        <x:v>180</x:v>
      </x:c>
      <x:c r="E36" s="10" t="s">
        <x:v>181</x:v>
      </x:c>
      <x:c r="F36" s="9" t="s">
        <x:v>4</x:v>
      </x:c>
      <x:c r="G36" s="11" t="n">
        <x:v>3</x:v>
      </x:c>
      <x:c r="H36" s="9" t="s">
        <x:v>28</x:v>
      </x:c>
      <x:c r="I36" s="9" t="s">
        <x:v>149</x:v>
      </x:c>
      <x:c r="J36" s="12"/>
      <x:c r="K36" s="10" t="s">
        <x:v>172</x:v>
      </x:c>
      <x:c r="L36" s="13" t="s">
        <x:v>182</x:v>
      </x:c>
      <x:c r="M36" s="13" t="s">
        <x:v>183</x:v>
      </x:c>
    </x:row>
    <x:row r="37" ht="28.350000381469727" hidden="0">
      <x:c r="A37" s="8" t="n">
        <x:v>30</x:v>
      </x:c>
      <x:c r="B37" s="9" t="s">
        <x:v>184</x:v>
      </x:c>
      <x:c r="C37" s="10" t="s">
        <x:v>60</x:v>
      </x:c>
      <x:c r="D37" s="10" t="s">
        <x:v>185</x:v>
      </x:c>
      <x:c r="E37" s="10" t="s">
        <x:v>186</x:v>
      </x:c>
      <x:c r="F37" s="9" t="s">
        <x:v>8</x:v>
      </x:c>
      <x:c r="G37" s="11" t="n">
        <x:v>2</x:v>
      </x:c>
      <x:c r="H37" s="9" t="s">
        <x:v>28</x:v>
      </x:c>
      <x:c r="I37" s="9"/>
      <x:c r="J37" s="12"/>
      <x:c r="K37" s="10" t="s">
        <x:v>59</x:v>
      </x:c>
      <x:c r="L37" s="13"/>
      <x:c r="M37" s="13" t="s">
        <x:v>187</x:v>
      </x:c>
    </x:row>
    <x:row r="38" ht="41.75" hidden="0">
      <x:c r="A38" s="8" t="n">
        <x:v>31</x:v>
      </x:c>
      <x:c r="B38" s="9" t="s">
        <x:v>188</x:v>
      </x:c>
      <x:c r="C38" s="10" t="s">
        <x:v>179</x:v>
      </x:c>
      <x:c r="D38" s="10" t="s">
        <x:v>189</x:v>
      </x:c>
      <x:c r="E38" s="10" t="s">
        <x:v>190</x:v>
      </x:c>
      <x:c r="F38" s="9" t="s">
        <x:v>8</x:v>
      </x:c>
      <x:c r="G38" s="11" t="n">
        <x:v>3</x:v>
      </x:c>
      <x:c r="H38" s="9" t="s">
        <x:v>28</x:v>
      </x:c>
      <x:c r="I38" s="9"/>
      <x:c r="J38" s="12"/>
      <x:c r="K38" s="10" t="s">
        <x:v>172</x:v>
      </x:c>
      <x:c r="L38" s="13" t="s">
        <x:v>191</x:v>
      </x:c>
      <x:c r="M38" s="13" t="s">
        <x:v>192</x:v>
      </x:c>
    </x:row>
  </x:sheetData>
  <x:mergeCells>
    <x:mergeCell ref="A1:L1"/>
    <x:mergeCell ref="A2:L2"/>
  </x:mergeCells>
  <x:conditionalFormatting sqref="F8:F38">
    <x:cfRule type="expression" dxfId="7" priority="2" aboveAverage="0" percent="0" bottom="0" rank="0" equalAverage="0">
      <x:formula>F8="Must"</x:formula>
    </x:cfRule>
    <x:cfRule type="expression" dxfId="8" priority="3" aboveAverage="0" percent="0" bottom="0" rank="0" equalAverage="0">
      <x:formula>F8="Should"</x:formula>
    </x:cfRule>
    <x:cfRule type="expression" dxfId="9" priority="4" aboveAverage="0" percent="0" bottom="0" rank="0" equalAverage="0">
      <x:formula>F8="Could"</x:formula>
    </x:cfRule>
  </x:conditionalFormatting>
  <x:conditionalFormatting sqref="H8:H38">
    <x:cfRule type="expression" dxfId="10" priority="5" aboveAverage="0" percent="0" bottom="0" rank="0" equalAverage="0">
      <x:formula>H8="Done"</x:formula>
    </x:cfRule>
    <x:cfRule type="expression" dxfId="11" priority="6" aboveAverage="0" percent="0" bottom="0" rank="0" equalAverage="0">
      <x:formula>H8="In Progress"</x:formula>
    </x:cfRule>
    <x:cfRule type="expression" dxfId="12" priority="7" aboveAverage="0" percent="0" bottom="0" rank="0" equalAverage="0">
      <x:formula>H8="Blocked"</x:formula>
    </x:cfRule>
  </x:conditionalFormatting>
  <x:dataValidations count="4">
    <x:dataValidation type="list" errorStyle="stop" operator="between" allowBlank="0" showDropDown="0" showInputMessage="0" showErrorMessage="0" sqref="F8:F38">
      <x:formula1>"Must,Should,Could"</x:formula1>
      <x:formula2>0</x:formula2>
    </x:dataValidation>
    <x:dataValidation type="list" errorStyle="stop" operator="between" allowBlank="0" showDropDown="0" showInputMessage="0" showErrorMessage="0" sqref="H8:H38">
      <x:formula1>"To Do,In Progress,Done,Blocked"</x:formula1>
      <x:formula2>0</x:formula2>
    </x:dataValidation>
    <x:dataValidation type="list" errorStyle="stop" operator="between" allowBlank="0" showDropDown="0" showInputMessage="0" showErrorMessage="0" sqref="I8:I38">
      <x:formula1>",Sprint 1,Sprint 2,Sprint 3,Sprint 4"</x:formula1>
      <x:formula2>0</x:formula2>
    </x:dataValidation>
    <x:dataValidation type="list" errorStyle="stop" operator="between" allowBlank="0" showDropDown="0" showInputMessage="0" showErrorMessage="0" sqref="J8:J38">
      <x:formula1>",Thành viên 1,Thành viên 2,Thành viên 3,Cả nhóm"</x:formula1>
      <x:formula2>0</x:formula2>
    </x:dataValidation>
  </x:dataValidations>
  <x:pageMargins left="0.7" right="0.7" top="0.75" bottom="0.75" header="0.3" footer="0.3"/>
  <x:drawing xmlns:r="http://schemas.openxmlformats.org/officeDocument/2006/relationships" r:id="R39c445ec22ff44a4"/>
  <x:tableParts count="1">
    <x:tablePart xmlns:r="http://schemas.openxmlformats.org/officeDocument/2006/relationships" r:id="R5f36edbeaf724fcb"/>
  </x:tableParts>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20" hidden="0" customWidth="1"/>
    <x:col min="2" max="2" width="65" hidden="0" customWidth="1"/>
    <x:col min="4" max="6" width="20" hidden="0" customWidth="1"/>
  </x:cols>
  <x:sheetData>
    <x:row r="1" ht="18.549999237060547" hidden="0">
      <x:c r="A1" s="14" t="s">
        <x:v>193</x:v>
      </x:c>
      <x:c r="B1" s="14"/>
      <x:c r="C1" s="14"/>
      <x:c r="D1" s="14"/>
      <x:c r="E1" s="14"/>
      <x:c r="F1" s="14"/>
    </x:row>
    <x:row r="3" ht="15" hidden="0">
      <x:c r="A3" s="15" t="s">
        <x:v>194</x:v>
      </x:c>
      <x:c r="B3" s="16" t="s">
        <x:v>195</x:v>
      </x:c>
      <x:c r="D3" s="17" t="s">
        <x:v>196</x:v>
      </x:c>
      <x:c r="E3" s="17"/>
      <x:c r="F3" s="17"/>
    </x:row>
    <x:row r="4" ht="28.350000381469727" hidden="0">
      <x:c r="A4" s="18" t="s">
        <x:v>12</x:v>
      </x:c>
      <x:c r="B4" s="19" t="s">
        <x:v>197</x:v>
      </x:c>
      <x:c r="D4" s="20" t="s">
        <x:v>198</x:v>
      </x:c>
      <x:c r="E4" s="20" t="s">
        <x:v>199</x:v>
      </x:c>
      <x:c r="F4" s="20"/>
    </x:row>
    <x:row r="5" ht="28.350000381469727" hidden="0">
      <x:c r="A5" s="18" t="s">
        <x:v>13</x:v>
      </x:c>
      <x:c r="B5" s="19" t="s">
        <x:v>200</x:v>
      </x:c>
      <x:c r="D5" s="20" t="s">
        <x:v>201</x:v>
      </x:c>
      <x:c r="E5" s="20" t="s">
        <x:v>202</x:v>
      </x:c>
      <x:c r="F5" s="20"/>
    </x:row>
    <x:row r="6" ht="28.350000381469727" hidden="0">
      <x:c r="A6" s="18" t="s">
        <x:v>14</x:v>
      </x:c>
      <x:c r="B6" s="19" t="s">
        <x:v>203</x:v>
      </x:c>
      <x:c r="D6" s="20" t="s">
        <x:v>204</x:v>
      </x:c>
      <x:c r="E6" s="20" t="s">
        <x:v>205</x:v>
      </x:c>
      <x:c r="F6" s="20"/>
    </x:row>
    <x:row r="7" ht="28.350000381469727" hidden="0">
      <x:c r="A7" s="18" t="s">
        <x:v>15</x:v>
      </x:c>
      <x:c r="B7" s="19" t="s">
        <x:v>206</x:v>
      </x:c>
      <x:c r="D7" s="20" t="s">
        <x:v>207</x:v>
      </x:c>
      <x:c r="E7" s="20" t="s">
        <x:v>208</x:v>
      </x:c>
      <x:c r="F7" s="20"/>
    </x:row>
    <x:row r="8" ht="28.350000381469727" hidden="0">
      <x:c r="A8" s="18" t="s">
        <x:v>16</x:v>
      </x:c>
      <x:c r="B8" s="19" t="s">
        <x:v>209</x:v>
      </x:c>
      <x:c r="D8" s="20" t="s">
        <x:v>210</x:v>
      </x:c>
      <x:c r="E8" s="20" t="s">
        <x:v>211</x:v>
      </x:c>
      <x:c r="F8" s="20"/>
    </x:row>
    <x:row r="9" ht="15" hidden="0">
      <x:c r="A9" s="18" t="s">
        <x:v>2</x:v>
      </x:c>
      <x:c r="B9" s="19" t="s">
        <x:v>212</x:v>
      </x:c>
    </x:row>
    <x:row r="10" ht="15" hidden="0">
      <x:c r="A10" s="18" t="s">
        <x:v>17</x:v>
      </x:c>
      <x:c r="B10" s="19" t="s">
        <x:v>213</x:v>
      </x:c>
      <x:c r="D10" s="21" t="s">
        <x:v>214</x:v>
      </x:c>
      <x:c r="E10" s="21"/>
      <x:c r="F10" s="21"/>
    </x:row>
    <x:row r="11" ht="28.350000381469727" hidden="0">
      <x:c r="A11" s="18" t="s">
        <x:v>18</x:v>
      </x:c>
      <x:c r="B11" s="19" t="s">
        <x:v>215</x:v>
      </x:c>
      <x:c r="D11" s="20" t="s">
        <x:v>198</x:v>
      </x:c>
      <x:c r="E11" s="20" t="s">
        <x:v>216</x:v>
      </x:c>
      <x:c r="F11" s="20"/>
    </x:row>
    <x:row r="12" ht="41.75" hidden="0">
      <x:c r="A12" s="18" t="s">
        <x:v>19</x:v>
      </x:c>
      <x:c r="B12" s="19" t="s">
        <x:v>217</x:v>
      </x:c>
      <x:c r="D12" s="20" t="s">
        <x:v>201</x:v>
      </x:c>
      <x:c r="E12" s="20" t="s">
        <x:v>218</x:v>
      </x:c>
      <x:c r="F12" s="20"/>
    </x:row>
    <x:row r="13" ht="28.350000381469727" hidden="0">
      <x:c r="A13" s="22" t="s">
        <x:v>20</x:v>
      </x:c>
      <x:c r="B13" s="23" t="s">
        <x:v>219</x:v>
      </x:c>
      <x:c r="D13" s="20" t="s">
        <x:v>204</x:v>
      </x:c>
      <x:c r="E13" s="20" t="s">
        <x:v>220</x:v>
      </x:c>
      <x:c r="F13" s="20"/>
    </x:row>
    <x:row r="14" ht="28.350000381469727" hidden="0">
      <x:c r="A14" s="22" t="s">
        <x:v>23</x:v>
      </x:c>
      <x:c r="B14" s="23" t="s">
        <x:v>221</x:v>
      </x:c>
      <x:c r="D14" s="20" t="s">
        <x:v>207</x:v>
      </x:c>
      <x:c r="E14" s="20" t="s">
        <x:v>222</x:v>
      </x:c>
      <x:c r="F14" s="20"/>
    </x:row>
    <x:row r="15" ht="28.350000381469727" hidden="0">
      <x:c r="D15" s="20" t="s">
        <x:v>210</x:v>
      </x:c>
      <x:c r="E15" s="20" t="s">
        <x:v>223</x:v>
      </x:c>
      <x:c r="F15" s="20"/>
    </x:row>
    <x:row r="16" ht="41.75" hidden="0">
      <x:c r="D16" s="20" t="s">
        <x:v>224</x:v>
      </x:c>
      <x:c r="E16" s="20" t="s">
        <x:v>225</x:v>
      </x:c>
      <x:c r="F16" s="20"/>
    </x:row>
    <x:row r="17" ht="28.350000381469727" hidden="0">
      <x:c r="D17" s="20" t="s">
        <x:v>226</x:v>
      </x:c>
      <x:c r="E17" s="20" t="s">
        <x:v>227</x:v>
      </x:c>
      <x:c r="F17" s="20"/>
    </x:row>
    <x:row r="18" ht="55.20000076293945" hidden="0">
      <x:c r="D18" s="20" t="s">
        <x:v>228</x:v>
      </x:c>
      <x:c r="E18" s="20" t="s">
        <x:v>229</x:v>
      </x:c>
    </x:row>
  </x:sheetData>
  <x:mergeCells>
    <x:mergeCell ref="A1:F1"/>
    <x:mergeCell ref="D3:F3"/>
    <x:mergeCell ref="D10:F10"/>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4" width="18" hidden="0" customWidth="1"/>
  </x:cols>
  <x:sheetData>
    <x:row r="1" ht="15" hidden="0">
      <x:c r="A1" s="24" t="s">
        <x:v>2</x:v>
      </x:c>
      <x:c r="B1" s="24" t="s">
        <x:v>18</x:v>
      </x:c>
      <x:c r="C1" s="24" t="s">
        <x:v>19</x:v>
      </x:c>
      <x:c r="D1" s="24" t="s">
        <x:v>20</x:v>
      </x:c>
    </x:row>
    <x:row r="2" ht="15" hidden="0">
      <x:c r="A2" t="s">
        <x:v>4</x:v>
      </x:c>
      <x:c r="B2" t="s">
        <x:v>28</x:v>
      </x:c>
      <x:c r="C2" t="s">
        <x:v>29</x:v>
      </x:c>
      <x:c r="D2" t="s">
        <x:v>230</x:v>
      </x:c>
    </x:row>
    <x:row r="3" ht="15" hidden="0">
      <x:c r="A3" t="s">
        <x:v>7</x:v>
      </x:c>
      <x:c r="B3" t="s">
        <x:v>231</x:v>
      </x:c>
      <x:c r="C3" t="s">
        <x:v>72</x:v>
      </x:c>
      <x:c r="D3" t="s">
        <x:v>232</x:v>
      </x:c>
    </x:row>
    <x:row r="4" ht="15" hidden="0">
      <x:c r="A4" t="s">
        <x:v>8</x:v>
      </x:c>
      <x:c r="B4" t="s">
        <x:v>233</x:v>
      </x:c>
      <x:c r="C4" t="s">
        <x:v>110</x:v>
      </x:c>
      <x:c r="D4" t="s">
        <x:v>234</x:v>
      </x:c>
    </x:row>
    <x:row r="5" ht="15" hidden="0">
      <x:c r="B5" t="s">
        <x:v>235</x:v>
      </x:c>
      <x:c r="C5" t="s">
        <x:v>149</x:v>
      </x:c>
      <x:c r="D5" t="s">
        <x:v>236</x:v>
      </x:c>
    </x:row>
  </x:sheetData>
  <x:pageMargins left="0.7" right="0.7" top="0.75" bottom="0.75" header="0.3" footer="0.3"/>
</x:worksheet>
</file>